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TAHUNAN" sheetId="1" r:id="rId4"/>
    <sheet state="visible" name="Januari" sheetId="2" r:id="rId5"/>
    <sheet state="visible" name="Februari" sheetId="3" r:id="rId6"/>
    <sheet state="visible" name="Maret" sheetId="4" r:id="rId7"/>
    <sheet state="visible" name="April" sheetId="5" r:id="rId8"/>
    <sheet state="visible" name="Mei" sheetId="6" r:id="rId9"/>
    <sheet state="visible" name="Juni" sheetId="7" r:id="rId10"/>
    <sheet state="visible" name="Juli" sheetId="8" r:id="rId11"/>
    <sheet state="visible" name="Agustus" sheetId="9" r:id="rId12"/>
    <sheet state="visible" name="September" sheetId="10" r:id="rId13"/>
    <sheet state="visible" name="Oktober" sheetId="11" r:id="rId14"/>
    <sheet state="visible" name="November" sheetId="12" r:id="rId15"/>
    <sheet state="visible" name="Desember" sheetId="13" r:id="rId16"/>
  </sheets>
  <definedNames/>
  <calcPr/>
  <extLst>
    <ext uri="GoogleSheetsCustomDataVersion2">
      <go:sheetsCustomData xmlns:go="http://customooxmlschemas.google.com/" r:id="rId17" roundtripDataChecksum="Zeibj49lRBGCYOU6xbQfnCgwYj2aXrY7etpHlqte5/U="/>
    </ext>
  </extLst>
</workbook>
</file>

<file path=xl/sharedStrings.xml><?xml version="1.0" encoding="utf-8"?>
<sst xmlns="http://schemas.openxmlformats.org/spreadsheetml/2006/main" count="1186" uniqueCount="131">
  <si>
    <t>REKAPITULASI EVALUASI PERKEMBANGAN ANAK (1 TAHUN AJARAN)</t>
  </si>
  <si>
    <t>Nama Anak: ____________________   |   Kelas: TK-A / TK-B   |   Tahun Ajaran: 2026/2027</t>
  </si>
  <si>
    <t>Bulan</t>
  </si>
  <si>
    <t>Rata-Rata Skor (0 - 2.0)</t>
  </si>
  <si>
    <t>Kategori Capaian</t>
  </si>
  <si>
    <t>Status Perkembangan</t>
  </si>
  <si>
    <t>Rekomendasi Treatment Utama</t>
  </si>
  <si>
    <t>Januari</t>
  </si>
  <si>
    <t>JURNAL PENILAIAN HARIAN &amp; BULANAN AKTIVITAS ANAK TK - BULAN FEBRUARI</t>
  </si>
  <si>
    <t>Februari</t>
  </si>
  <si>
    <t>JURNAL PENILAIAN HARIAN &amp; BULANAN AKTIVITAS ANAK TK - BULAN JANUARI</t>
  </si>
  <si>
    <t>Pilar Evaluasi</t>
  </si>
  <si>
    <t>JURNAL PENILAIAN HARIAN &amp; BULANAN AKTIVITAS ANAK TK - BULAN MARET</t>
  </si>
  <si>
    <t>Maret</t>
  </si>
  <si>
    <t>Indikator Aktivitas Harian</t>
  </si>
  <si>
    <t>Panduan Skor (0, 1, 2)</t>
  </si>
  <si>
    <t>Tgl 1</t>
  </si>
  <si>
    <t>Tgl 2</t>
  </si>
  <si>
    <t>Tgl 3</t>
  </si>
  <si>
    <t>Tgl 4</t>
  </si>
  <si>
    <t>Tgl 5</t>
  </si>
  <si>
    <t>Tgl 6</t>
  </si>
  <si>
    <t>Tgl 7</t>
  </si>
  <si>
    <t>Tgl 8</t>
  </si>
  <si>
    <t>Tgl 9</t>
  </si>
  <si>
    <t>Tgl 10</t>
  </si>
  <si>
    <t>Tgl 11</t>
  </si>
  <si>
    <t>Tgl 12</t>
  </si>
  <si>
    <t>April</t>
  </si>
  <si>
    <t>Tgl 13</t>
  </si>
  <si>
    <t>Tgl 14</t>
  </si>
  <si>
    <t>Tgl 15</t>
  </si>
  <si>
    <t>Tgl 16</t>
  </si>
  <si>
    <t>Tgl 17</t>
  </si>
  <si>
    <t>Tgl 18</t>
  </si>
  <si>
    <t>Tgl 19</t>
  </si>
  <si>
    <t>Tgl 20</t>
  </si>
  <si>
    <t>Tgl 21</t>
  </si>
  <si>
    <t>Tgl 22</t>
  </si>
  <si>
    <t>Tgl 23</t>
  </si>
  <si>
    <t>Mei</t>
  </si>
  <si>
    <t>Tgl 24</t>
  </si>
  <si>
    <t>Tgl 25</t>
  </si>
  <si>
    <t>Tgl 26</t>
  </si>
  <si>
    <t>Tgl 27</t>
  </si>
  <si>
    <t>Tgl 28</t>
  </si>
  <si>
    <t>Total Skor</t>
  </si>
  <si>
    <t>Rata-Rata Indikator</t>
  </si>
  <si>
    <t>Spiritual</t>
  </si>
  <si>
    <t>Shalat Subuh tepat waktu / belajar ikut tanpa drama</t>
  </si>
  <si>
    <t>Juni</t>
  </si>
  <si>
    <t>2: Tepat waktu/Ceria | 1: Kesiangan/Drama | 0: Belum mau</t>
  </si>
  <si>
    <t>Tgl 29</t>
  </si>
  <si>
    <t>Tgl 30</t>
  </si>
  <si>
    <t>Tgl 31</t>
  </si>
  <si>
    <t>Juli</t>
  </si>
  <si>
    <t>Agustus</t>
  </si>
  <si>
    <t>September</t>
  </si>
  <si>
    <t>Shalat Dzuhur tepat waktu / mau diajak shalat berjamaah</t>
  </si>
  <si>
    <t>2: Mau diajak/Ceria | 1: Diingatkan berkali-kali | 0: Belum mau</t>
  </si>
  <si>
    <t>Oktober</t>
  </si>
  <si>
    <t>Shalat Ashar tepat waktu / mau diajak shalat berjamaah</t>
  </si>
  <si>
    <t>November</t>
  </si>
  <si>
    <t>Shalat Maghrib tepat waktu / mau diajak shalat berjamaah</t>
  </si>
  <si>
    <t>Shalat Isya tepat waktu / mau diajak shalat berjamaah</t>
  </si>
  <si>
    <t>Desember</t>
  </si>
  <si>
    <t>Fisik &amp; Motorik</t>
  </si>
  <si>
    <t>Olahraga Pagi (senam/jalan/sepeda/fisik aktif)</t>
  </si>
  <si>
    <t>2: Bergerak aktif/Ceria | 1: Hanya sebentar/Kurang semangat | 0: Malas bergerak</t>
  </si>
  <si>
    <t>Bermain Fisik Aktif Sore (bukan main gadget/HP)</t>
  </si>
  <si>
    <t>2: Main luar rumah/Fisik | 1: Main di dalam rumah saja | 0: Full main HP/Gadget</t>
  </si>
  <si>
    <t>RATA-RATA TAHUNAN</t>
  </si>
  <si>
    <t>Kemandirian</t>
  </si>
  <si>
    <t>Bangun Tidur Pagi tanpa rewel</t>
  </si>
  <si>
    <t>2: Bangun ceria &amp; segar | 1: Merengek sebentar | 0: Mengamuk/Tantrum lama</t>
  </si>
  <si>
    <t>Perawatan Diri Pagi (mandi, sikat gigi, pakai baju sendiri)</t>
  </si>
  <si>
    <t>2: Mandi &amp; bersiap sendiri | 1: Dibantu setengahnya | 0: Dibantu total/Drama</t>
  </si>
  <si>
    <t>Sarapan Pagi dengan tertib &amp; mandiri</t>
  </si>
  <si>
    <t>2: Habis &amp; makan sendiri sambil duduk | 1: Disuapi sebagian | 0: Disuapi total/Sambil HP</t>
  </si>
  <si>
    <t>Merapikan kembali mainan atau buku yang selesai digunakan</t>
  </si>
  <si>
    <t>2: Inisiatif sendiri merapikan | 1: Harus disuruh berkali-kali | 0: Menolak/Ditinggal berantakan</t>
  </si>
  <si>
    <t>RUBRIK PENILAIAN &amp; PANDUAN KLASIFIKASI TREATMENT GURU</t>
  </si>
  <si>
    <t>Adab Pulang Rumah (ucap salam, taruh sepatu &amp; tas sendiri)</t>
  </si>
  <si>
    <t>2: Salam &amp; taruh barang dengan rapi | 1: Harus diingatkan | 0: Barang dilempar acak-acakan</t>
  </si>
  <si>
    <t>Skor Rata-Rata</t>
  </si>
  <si>
    <t>Persiapan Tidur Malam (sikat gigi &amp; baca doa tidur)</t>
  </si>
  <si>
    <t>Kategori</t>
  </si>
  <si>
    <t>2: Sikat gigi &amp; doa mandiri | 1: Harus dipaksa/Dikejar dulu | 0: Langsung tidur tanpa sikat</t>
  </si>
  <si>
    <t>Arti Capaian</t>
  </si>
  <si>
    <t>Tindak Lanjut / Treatment Guru &amp; Orang Tua</t>
  </si>
  <si>
    <t>1.63 - 2.00</t>
  </si>
  <si>
    <t>Adab &amp; Sosial</t>
  </si>
  <si>
    <t>BSB</t>
  </si>
  <si>
    <t>Penggunaan 3 Kata Sakti (Maaf, Tolong, Terima Kasih)</t>
  </si>
  <si>
    <t>Berkembang Sangat Baik</t>
  </si>
  <si>
    <t>2: Spontan mengucapkan | 1: Ucap jika diingatkan | 0: Tidak mau mengucapkan</t>
  </si>
  <si>
    <t>Anak sangat mandiri &amp; konsisten. Berikan proyek tantangan kepemimpinan dan pengayaan aktivitas baru.</t>
  </si>
  <si>
    <t>Mau Berbagi di rumah (berbagi makanan/mainan ke saudara)</t>
  </si>
  <si>
    <t>2: Mau berbagi dengan ceria | 1: Berbagi setelah dibujuk | 0: Pelit/Merebut mainan</t>
  </si>
  <si>
    <t>1.26 - 1.62</t>
  </si>
  <si>
    <t>BSH</t>
  </si>
  <si>
    <t>Berkembang Sesuai Harapan</t>
  </si>
  <si>
    <t>Anak berkembang sesuai usia. Pertahankan stimulasi rutin harian dan berikan pujian/apresiasi positif.</t>
  </si>
  <si>
    <t>Nada Bicara &amp; Sopan Santun</t>
  </si>
  <si>
    <t>2: Sopan &amp; suara lembut | 1: Berteriak karena gemas/kesal | 0: Membentak/Kasar</t>
  </si>
  <si>
    <t>0.76 - 1.25</t>
  </si>
  <si>
    <t>MB</t>
  </si>
  <si>
    <t>Mulai Berkembang</t>
  </si>
  <si>
    <t>Anak masih butuh bimbingan. Lakukan pendampingan personal (scaffolding) dan tingkatkan komunikasi rumah-sekolah.</t>
  </si>
  <si>
    <t>0.00 - 0.75</t>
  </si>
  <si>
    <t>Emosi</t>
  </si>
  <si>
    <t>BB</t>
  </si>
  <si>
    <t>Pengendalian Rasa Kecewa (keinginan ditolak/tidak dituruti)</t>
  </si>
  <si>
    <t>Belum Berkembang</t>
  </si>
  <si>
    <t>2: Menangis wajar/Bisa ditenangkan | 1: Merengek lama | 0: Mengamuk/Pukul/Tantrum hebat</t>
  </si>
  <si>
    <t>Memerlukan intervensi khusus. Lakukan konseling/dialog mendalam bersama orang tua dan susun pendampingan terpandu.</t>
  </si>
  <si>
    <t>Kejujuran &amp; Tanggung Jawab</t>
  </si>
  <si>
    <t>2: Jujur berani mengakui kesalahan | 1: Ragu-ragu/Takut jujur | 0: Berbohong</t>
  </si>
  <si>
    <t>TOTAL SKOR HARIAN (Max 36)</t>
  </si>
  <si>
    <t>RATA-RATA HARIAN (Skala 0 - 2.0)</t>
  </si>
  <si>
    <t>KLASIFIKASI CAPAIAN HARIAN</t>
  </si>
  <si>
    <t>EVALUASI BULANAN &amp; REKOMENDASI TREATMENT GURU</t>
  </si>
  <si>
    <t>JURNAL PENILAIAN HARIAN &amp; BULANAN AKTIVITAS ANAK TK - BULAN APRIL</t>
  </si>
  <si>
    <t>JURNAL PENILAIAN HARIAN &amp; BULANAN AKTIVITAS ANAK TK - BULAN MEI</t>
  </si>
  <si>
    <t>JURNAL PENILAIAN HARIAN &amp; BULANAN AKTIVITAS ANAK TK - BULAN JUNI</t>
  </si>
  <si>
    <t>JURNAL PENILAIAN HARIAN &amp; BULANAN AKTIVITAS ANAK TK - BULAN JULI</t>
  </si>
  <si>
    <t>JURNAL PENILAIAN HARIAN &amp; BULANAN AKTIVITAS ANAK TK - BULAN SEPTEMBER</t>
  </si>
  <si>
    <t>JURNAL PENILAIAN HARIAN &amp; BULANAN AKTIVITAS ANAK TK - BULAN AGUSTUS</t>
  </si>
  <si>
    <t>JURNAL PENILAIAN HARIAN &amp; BULANAN AKTIVITAS ANAK TK - BULAN OKTOBER</t>
  </si>
  <si>
    <t>JURNAL PENILAIAN HARIAN &amp; BULANAN AKTIVITAS ANAK TK - BULAN NOVEMBER</t>
  </si>
  <si>
    <t>JURNAL PENILAIAN HARIAN &amp; BULANAN AKTIVITAS ANAK TK - BULAN 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</si>
</sst>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  <fill>
      <patternFill patternType="solid">
        <fgColor rgb="FFF2F4F7"/>
        <bgColor rgb="FFF2F4F7"/>
      </patternFill>
    </fill>
  </fills>
  <borders count="1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5" numFmtId="2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3" fontId="4" numFmtId="0" xfId="0" applyAlignment="1" applyBorder="1" applyFill="1" applyFont="1">
      <alignment horizontal="center"/>
    </xf>
    <xf borderId="1" fillId="3" fontId="5" numFmtId="2" xfId="0" applyAlignment="1" applyBorder="1" applyFill="1" applyFont="1" applyNumberFormat="1">
      <alignment horizontal="center"/>
    </xf>
    <xf borderId="1" fillId="3" fontId="5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left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2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1" fillId="3" fontId="6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2" xfId="0" applyAlignment="1" applyBorder="1" applyFill="1" applyFont="1" applyNumberFormat="1">
      <alignment horizontal="center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/>
    </xf>
    <xf borderId="1" fillId="4" fontId="5" numFmtId="2" xfId="0" applyAlignment="1" applyBorder="1" applyFill="1" applyFont="1" applyNumberFormat="1">
      <alignment horizontal="center"/>
    </xf>
    <xf borderId="2" fillId="4" fontId="6" numFmtId="0" xfId="0" applyBorder="1" applyFill="1" applyFont="1"/>
    <xf borderId="3" fillId="0" fontId="7" numFmtId="0" xfId="0" applyBorder="1" applyFont="1"/>
    <xf borderId="4" fillId="2" fontId="3" numFmtId="0" xfId="0" applyAlignment="1" applyBorder="1" applyFill="1" applyFont="1">
      <alignment horizontal="left"/>
    </xf>
    <xf borderId="5" fillId="0" fontId="7" numFmtId="0" xfId="0" applyBorder="1" applyFont="1"/>
    <xf borderId="6" fillId="0" fontId="7" numFmtId="0" xfId="0" applyBorder="1" applyFont="1"/>
    <xf borderId="2" fillId="4" fontId="5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left" shrinkToFit="0" wrapText="1"/>
    </xf>
    <xf borderId="2" fillId="4" fontId="5" numFmtId="0" xfId="0" applyAlignment="1" applyBorder="1" applyFill="1" applyFont="1">
      <alignment horizontal="right" vertical="center"/>
    </xf>
    <xf borderId="7" fillId="0" fontId="7" numFmtId="0" xfId="0" applyBorder="1" applyFont="1"/>
    <xf borderId="1" fillId="4" fontId="5" numFmtId="0" xfId="0" applyAlignment="1" applyBorder="1" applyFill="1" applyFont="1">
      <alignment horizontal="center" vertical="center"/>
    </xf>
    <xf borderId="1" fillId="4" fontId="6" numFmtId="0" xfId="0" applyBorder="1" applyFill="1" applyFont="1"/>
    <xf borderId="1" fillId="4" fontId="5" numFmtId="2" xfId="0" applyAlignment="1" applyBorder="1" applyFill="1" applyFont="1" applyNumberFormat="1">
      <alignment horizontal="center" vertical="center"/>
    </xf>
    <xf borderId="4" fillId="2" fontId="3" numFmtId="0" xfId="0" applyAlignment="1" applyBorder="1" applyFill="1" applyFont="1">
      <alignment horizontal="left" vertical="center"/>
    </xf>
    <xf borderId="8" fillId="5" fontId="5" numFmtId="0" xfId="0" applyAlignment="1" applyBorder="1" applyFill="1" applyFont="1">
      <alignment horizontal="left" shrinkToFit="0" vertical="top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25.0"/>
    <col customWidth="1" min="4" max="4" width="28.0"/>
    <col customWidth="1" min="5" max="5" width="48.0"/>
    <col customWidth="1" min="6" max="26" width="8.71"/>
  </cols>
  <sheetData>
    <row r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s">
        <v>7</v>
      </c>
      <c r="B5" s="5">
        <f>IF(Januari!AJ24="", "", Januari!AJ24)</f>
        <v>1.4</v>
      </c>
      <c r="C5" s="6" t="str">
        <f t="shared" ref="C5:C17" si="1">IF(B5="","",IF(B5&gt;=1.63,"BSB",IF(B5&gt;=1.26,"BSH",IF(B5&gt;=0.76,"MB","BB"))))</f>
        <v>BSH</v>
      </c>
      <c r="D5" s="4" t="str">
        <f t="shared" ref="D5:D16" si="2">IF(B5="","",IF(B5&gt;=1.63,"Sangat Mandiri &amp; Konsisten",IF(B5&gt;=1.26,"Berkembang Sesuai Usia",IF(B5&gt;=0.76,"Masih Butuh Bimbingan","Perlu Intervensi Khusus"))))</f>
        <v>Berkembang Sesuai Usia</v>
      </c>
      <c r="E5" s="7" t="str">
        <f t="shared" ref="E5:E16" si="3">IF(B5="","Belum Ada Data Input",IF(B5&gt;=1.63,"Pengayaan, Tantangan Proyek Baru &amp; Kepemimpinan",IF(B5&gt;=1.26,"Apresiasi &amp; Pertahankan Pembiasaan Rutin Harian",IF(B5&gt;=0.76,"Pendampingan Personal (Scaffolding) &amp; Komunikasi Rutin","Konseling / Evaluasi Mendalam Bersama Orang Tua"))))</f>
        <v>Apresiasi &amp; Pertahankan Pembiasaan Rutin Harian</v>
      </c>
    </row>
    <row r="6">
      <c r="A6" s="8" t="s">
        <v>9</v>
      </c>
      <c r="B6" s="9" t="str">
        <f>IF(Februari!AG24="", "", Februari!AG24)</f>
        <v/>
      </c>
      <c r="C6" s="10" t="str">
        <f t="shared" si="1"/>
        <v/>
      </c>
      <c r="D6" s="8" t="str">
        <f t="shared" si="2"/>
        <v/>
      </c>
      <c r="E6" s="11" t="str">
        <f t="shared" si="3"/>
        <v>Belum Ada Data Input</v>
      </c>
    </row>
    <row r="7">
      <c r="A7" s="4" t="s">
        <v>13</v>
      </c>
      <c r="B7" s="5" t="str">
        <f>IF(Maret!AJ24="", "", Maret!AJ24)</f>
        <v/>
      </c>
      <c r="C7" s="6" t="str">
        <f t="shared" si="1"/>
        <v/>
      </c>
      <c r="D7" s="4" t="str">
        <f t="shared" si="2"/>
        <v/>
      </c>
      <c r="E7" s="7" t="str">
        <f t="shared" si="3"/>
        <v>Belum Ada Data Input</v>
      </c>
    </row>
    <row r="8">
      <c r="A8" s="8" t="s">
        <v>28</v>
      </c>
      <c r="B8" s="9" t="str">
        <f>IF(April!AI24="", "", April!AI24)</f>
        <v/>
      </c>
      <c r="C8" s="10" t="str">
        <f t="shared" si="1"/>
        <v/>
      </c>
      <c r="D8" s="8" t="str">
        <f t="shared" si="2"/>
        <v/>
      </c>
      <c r="E8" s="11" t="str">
        <f t="shared" si="3"/>
        <v>Belum Ada Data Input</v>
      </c>
    </row>
    <row r="9">
      <c r="A9" s="4" t="s">
        <v>40</v>
      </c>
      <c r="B9" s="5" t="str">
        <f>IF(Mei!AJ24="", "", Mei!AJ24)</f>
        <v/>
      </c>
      <c r="C9" s="6" t="str">
        <f t="shared" si="1"/>
        <v/>
      </c>
      <c r="D9" s="4" t="str">
        <f t="shared" si="2"/>
        <v/>
      </c>
      <c r="E9" s="7" t="str">
        <f t="shared" si="3"/>
        <v>Belum Ada Data Input</v>
      </c>
    </row>
    <row r="10">
      <c r="A10" s="8" t="s">
        <v>50</v>
      </c>
      <c r="B10" s="9" t="str">
        <f>IF(Juni!AI24="", "", Juni!AI24)</f>
        <v/>
      </c>
      <c r="C10" s="10" t="str">
        <f t="shared" si="1"/>
        <v/>
      </c>
      <c r="D10" s="8" t="str">
        <f t="shared" si="2"/>
        <v/>
      </c>
      <c r="E10" s="11" t="str">
        <f t="shared" si="3"/>
        <v>Belum Ada Data Input</v>
      </c>
    </row>
    <row r="11">
      <c r="A11" s="4" t="s">
        <v>55</v>
      </c>
      <c r="B11" s="5" t="str">
        <f>IF(Juli!AJ24="", "", Juli!AJ24)</f>
        <v/>
      </c>
      <c r="C11" s="6" t="str">
        <f t="shared" si="1"/>
        <v/>
      </c>
      <c r="D11" s="4" t="str">
        <f t="shared" si="2"/>
        <v/>
      </c>
      <c r="E11" s="7" t="str">
        <f t="shared" si="3"/>
        <v>Belum Ada Data Input</v>
      </c>
    </row>
    <row r="12">
      <c r="A12" s="8" t="s">
        <v>56</v>
      </c>
      <c r="B12" s="9" t="str">
        <f>IF(Agustus!AJ24="", "", Agustus!AJ24)</f>
        <v/>
      </c>
      <c r="C12" s="10" t="str">
        <f t="shared" si="1"/>
        <v/>
      </c>
      <c r="D12" s="8" t="str">
        <f t="shared" si="2"/>
        <v/>
      </c>
      <c r="E12" s="11" t="str">
        <f t="shared" si="3"/>
        <v>Belum Ada Data Input</v>
      </c>
    </row>
    <row r="13">
      <c r="A13" s="4" t="s">
        <v>57</v>
      </c>
      <c r="B13" s="5" t="str">
        <f>IF(September!AI24="", "", September!AI24)</f>
        <v/>
      </c>
      <c r="C13" s="6" t="str">
        <f t="shared" si="1"/>
        <v/>
      </c>
      <c r="D13" s="4" t="str">
        <f t="shared" si="2"/>
        <v/>
      </c>
      <c r="E13" s="7" t="str">
        <f t="shared" si="3"/>
        <v>Belum Ada Data Input</v>
      </c>
    </row>
    <row r="14">
      <c r="A14" s="8" t="s">
        <v>60</v>
      </c>
      <c r="B14" s="9" t="str">
        <f>IF(Oktober!AJ24="", "", Oktober!AJ24)</f>
        <v/>
      </c>
      <c r="C14" s="10" t="str">
        <f t="shared" si="1"/>
        <v/>
      </c>
      <c r="D14" s="8" t="str">
        <f t="shared" si="2"/>
        <v/>
      </c>
      <c r="E14" s="11" t="str">
        <f t="shared" si="3"/>
        <v>Belum Ada Data Input</v>
      </c>
    </row>
    <row r="15">
      <c r="A15" s="4" t="s">
        <v>62</v>
      </c>
      <c r="B15" s="5" t="str">
        <f>IF(November!AI24="", "", November!AI24)</f>
        <v/>
      </c>
      <c r="C15" s="6" t="str">
        <f t="shared" si="1"/>
        <v/>
      </c>
      <c r="D15" s="4" t="str">
        <f t="shared" si="2"/>
        <v/>
      </c>
      <c r="E15" s="7" t="str">
        <f t="shared" si="3"/>
        <v>Belum Ada Data Input</v>
      </c>
    </row>
    <row r="16">
      <c r="A16" s="8" t="s">
        <v>65</v>
      </c>
      <c r="B16" s="9" t="str">
        <f>IF(Desember!AJ24="", "", Desember!AJ24)</f>
        <v/>
      </c>
      <c r="C16" s="10" t="str">
        <f t="shared" si="1"/>
        <v/>
      </c>
      <c r="D16" s="8" t="str">
        <f t="shared" si="2"/>
        <v/>
      </c>
      <c r="E16" s="11" t="str">
        <f t="shared" si="3"/>
        <v>Belum Ada Data Input</v>
      </c>
    </row>
    <row r="17">
      <c r="A17" s="23" t="s">
        <v>71</v>
      </c>
      <c r="B17" s="24">
        <f>IFERROR(AVERAGE(B5:B16), "")</f>
        <v>1.4</v>
      </c>
      <c r="C17" s="23" t="str">
        <f t="shared" si="1"/>
        <v>BSH</v>
      </c>
      <c r="D17" s="25"/>
      <c r="E17" s="26"/>
    </row>
    <row r="20">
      <c r="A20" s="27" t="s">
        <v>81</v>
      </c>
      <c r="B20" s="28"/>
      <c r="C20" s="28"/>
      <c r="D20" s="28"/>
      <c r="E20" s="29"/>
    </row>
    <row r="21" ht="15.75" customHeight="1">
      <c r="A21" s="23" t="s">
        <v>84</v>
      </c>
      <c r="B21" s="23" t="s">
        <v>86</v>
      </c>
      <c r="C21" s="23" t="s">
        <v>88</v>
      </c>
      <c r="D21" s="30" t="s">
        <v>89</v>
      </c>
      <c r="E21" s="26"/>
    </row>
    <row r="22" ht="15.75" customHeight="1">
      <c r="A22" s="4" t="s">
        <v>90</v>
      </c>
      <c r="B22" s="4" t="s">
        <v>92</v>
      </c>
      <c r="C22" s="4" t="s">
        <v>94</v>
      </c>
      <c r="D22" s="31" t="s">
        <v>96</v>
      </c>
      <c r="E22" s="26"/>
    </row>
    <row r="23" ht="15.75" customHeight="1">
      <c r="A23" s="4" t="s">
        <v>99</v>
      </c>
      <c r="B23" s="4" t="s">
        <v>100</v>
      </c>
      <c r="C23" s="4" t="s">
        <v>101</v>
      </c>
      <c r="D23" s="31" t="s">
        <v>102</v>
      </c>
      <c r="E23" s="26"/>
    </row>
    <row r="24" ht="15.75" customHeight="1">
      <c r="A24" s="4" t="s">
        <v>105</v>
      </c>
      <c r="B24" s="4" t="s">
        <v>106</v>
      </c>
      <c r="C24" s="4" t="s">
        <v>107</v>
      </c>
      <c r="D24" s="31" t="s">
        <v>108</v>
      </c>
      <c r="E24" s="26"/>
    </row>
    <row r="25" ht="15.75" customHeight="1">
      <c r="A25" s="4" t="s">
        <v>109</v>
      </c>
      <c r="B25" s="4" t="s">
        <v>111</v>
      </c>
      <c r="C25" s="4" t="s">
        <v>113</v>
      </c>
      <c r="D25" s="31" t="s">
        <v>115</v>
      </c>
      <c r="E25" s="2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D17:E17"/>
    <mergeCell ref="A20:E20"/>
    <mergeCell ref="D21:E21"/>
    <mergeCell ref="D22:E22"/>
    <mergeCell ref="D23:E23"/>
    <mergeCell ref="D24:E24"/>
    <mergeCell ref="D25:E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4" width="6.0"/>
    <col customWidth="1" min="35" max="35" width="12.0"/>
    <col customWidth="1" min="36" max="36" width="16.0"/>
  </cols>
  <sheetData>
    <row r="1">
      <c r="A1" s="1" t="s">
        <v>10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54</v>
      </c>
      <c r="AI4" s="12" t="s">
        <v>46</v>
      </c>
      <c r="AJ4" s="12" t="s">
        <v>47</v>
      </c>
    </row>
    <row r="5">
      <c r="A5" s="13" t="s">
        <v>48</v>
      </c>
      <c r="B5" s="13" t="s">
        <v>49</v>
      </c>
      <c r="C5" s="13" t="s">
        <v>51</v>
      </c>
      <c r="D5" s="15">
        <v>1.0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6">
        <f t="shared" ref="AI5:AI22" si="1">IF(COUNT(D5:AH5)&gt;0, SUM(D5:AH5), "")</f>
        <v>1</v>
      </c>
      <c r="AJ5" s="17">
        <f t="shared" ref="AJ5:AJ22" si="2">IF(COUNT(D5:AH5)&gt;0, AVERAGE(D5:AH5), "")</f>
        <v>1</v>
      </c>
    </row>
    <row r="6">
      <c r="A6" s="18" t="s">
        <v>48</v>
      </c>
      <c r="B6" s="18" t="s">
        <v>58</v>
      </c>
      <c r="C6" s="18" t="s">
        <v>59</v>
      </c>
      <c r="D6" s="22">
        <v>2.0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>
        <f t="shared" si="1"/>
        <v>2</v>
      </c>
      <c r="AJ6" s="21">
        <f t="shared" si="2"/>
        <v>2</v>
      </c>
    </row>
    <row r="7">
      <c r="A7" s="13" t="s">
        <v>48</v>
      </c>
      <c r="B7" s="13" t="s">
        <v>61</v>
      </c>
      <c r="C7" s="13" t="s">
        <v>59</v>
      </c>
      <c r="D7" s="15">
        <v>1.0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6">
        <f t="shared" si="1"/>
        <v>1</v>
      </c>
      <c r="AJ7" s="17">
        <f t="shared" si="2"/>
        <v>1</v>
      </c>
    </row>
    <row r="8">
      <c r="A8" s="18" t="s">
        <v>48</v>
      </c>
      <c r="B8" s="18" t="s">
        <v>63</v>
      </c>
      <c r="C8" s="18" t="s">
        <v>59</v>
      </c>
      <c r="D8" s="22">
        <v>2.0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>
        <f t="shared" si="1"/>
        <v>2</v>
      </c>
      <c r="AJ8" s="21">
        <f t="shared" si="2"/>
        <v>2</v>
      </c>
    </row>
    <row r="9">
      <c r="A9" s="13" t="s">
        <v>48</v>
      </c>
      <c r="B9" s="13" t="s">
        <v>64</v>
      </c>
      <c r="C9" s="13" t="s">
        <v>59</v>
      </c>
      <c r="D9" s="15">
        <v>1.0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6">
        <f t="shared" si="1"/>
        <v>1</v>
      </c>
      <c r="AJ9" s="17">
        <f t="shared" si="2"/>
        <v>1</v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 t="str">
        <f t="shared" si="1"/>
        <v/>
      </c>
      <c r="AJ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6" t="str">
        <f t="shared" si="1"/>
        <v/>
      </c>
      <c r="AJ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 t="str">
        <f t="shared" si="1"/>
        <v/>
      </c>
      <c r="AJ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6" t="str">
        <f t="shared" si="1"/>
        <v/>
      </c>
      <c r="AJ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 t="str">
        <f t="shared" si="1"/>
        <v/>
      </c>
      <c r="AJ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6" t="str">
        <f t="shared" si="1"/>
        <v/>
      </c>
      <c r="AJ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 t="str">
        <f t="shared" si="1"/>
        <v/>
      </c>
      <c r="AJ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6" t="str">
        <f t="shared" si="1"/>
        <v/>
      </c>
      <c r="AJ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 t="str">
        <f t="shared" si="1"/>
        <v/>
      </c>
      <c r="AJ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 t="str">
        <f t="shared" si="1"/>
        <v/>
      </c>
      <c r="AJ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 t="str">
        <f t="shared" si="1"/>
        <v/>
      </c>
      <c r="AJ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6" t="str">
        <f t="shared" si="1"/>
        <v/>
      </c>
      <c r="AJ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 t="str">
        <f t="shared" si="1"/>
        <v/>
      </c>
      <c r="AJ22" s="21" t="str">
        <f t="shared" si="2"/>
        <v/>
      </c>
    </row>
    <row r="23" ht="15.75" customHeight="1">
      <c r="A23" s="32" t="s">
        <v>118</v>
      </c>
      <c r="B23" s="33"/>
      <c r="C23" s="26"/>
      <c r="D23" s="34">
        <f t="shared" ref="D23:AH23" si="3">IF(COUNT(D5:D22)&gt;0, SUM(D5:D22), "")</f>
        <v>7</v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 t="str">
        <f t="shared" si="3"/>
        <v/>
      </c>
      <c r="AI23" s="34">
        <f>IFERROR(SUM(AI5:AI22), "")</f>
        <v>7</v>
      </c>
      <c r="AJ23" s="35"/>
    </row>
    <row r="24" ht="15.75" customHeight="1">
      <c r="A24" s="32" t="s">
        <v>119</v>
      </c>
      <c r="B24" s="33"/>
      <c r="C24" s="26"/>
      <c r="D24" s="36">
        <f t="shared" ref="D24:AH24" si="4">IF(COUNT(D5:D22)&gt;0, AVERAGE(D5:D22), "")</f>
        <v>1.4</v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6" t="str">
        <f t="shared" si="4"/>
        <v/>
      </c>
      <c r="AI24" s="35"/>
      <c r="AJ24" s="36">
        <f>IFERROR(AVERAGE(D24:AH24), "")</f>
        <v>1.4</v>
      </c>
    </row>
    <row r="25" ht="15.75" customHeight="1">
      <c r="A25" s="32" t="s">
        <v>120</v>
      </c>
      <c r="B25" s="33"/>
      <c r="C25" s="26"/>
      <c r="D25" s="34" t="str">
        <f t="shared" ref="D25:AH25" si="5">IF(D24="","",IF(D24&gt;=1.63,"BSB",IF(D24&gt;=1.26,"BSH",IF(D24&gt;=0.76,"MB","BB"))))</f>
        <v>BSH</v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4" t="str">
        <f t="shared" si="5"/>
        <v/>
      </c>
      <c r="AI25" s="35"/>
      <c r="AJ25" s="34" t="str">
        <f>IF(AJ24="","",IF(AJ24&gt;=1.63,"BSB",IF(AJ24&gt;=1.26,"BSH",IF(AJ24&gt;=0.76,"MB","BB"))))</f>
        <v>BSH</v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IF(AJ24="","Belum ada data pengisian harian.",IF(AJ24&gt;=1.63,"[BSB - Berkembang Sangat Baik | Skor: " &amp; TEXT(AJ24,"0.00") &amp; "] Treatment: Anak sangat mandiri &amp; konsisten. Berikan proyek tantangan kepemimpinan dan pengayaan aktivitas baru.",IF(AJ24&gt;=1.26,"[BSH - Berkembang Sesuai Harapan | Skor: " &amp; TEXT(AJ24,"0.00") &amp; "] Treatment: Anak berkembang sesuai usia. Pertahankan stimulasi rutin harian dan berikan pujian/apresiasi positif.",IF(AJ24&gt;=0.76,"[MB - Mulai Berkembang | Skor: " &amp; TEXT(AJ24,"0.00") &amp; "] Treatment: Anak masih butuh bimbingan. Lakukan pendampingan personal (scaffolding) dan tingkatkan komunikasi rumah-sekolah.","[BB - Belum Berkembang | Skor: " &amp; TEXT(AJ24,"0.00") &amp; "] Treatment: Memerlukan intervensi khusus. Lakukan konseling/dialog mendalam bersama orang tua dan susun pendampingan terpandu."))))</f>
        <v>[BSH - Berkembang Sesuai Harapan | Skor: 1,40] Treatment: Anak berkembang sesuai usia. Pertahankan stimulasi rutin harian dan berikan pujian/apresiasi positif.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J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1" width="6.0"/>
    <col customWidth="1" min="32" max="32" width="12.0"/>
    <col customWidth="1" min="33" max="33" width="16.0"/>
  </cols>
  <sheetData>
    <row r="1">
      <c r="A1" s="1" t="s">
        <v>8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46</v>
      </c>
      <c r="AG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6" t="str">
        <f t="shared" ref="AF5:AF22" si="1">IF(COUNT(D5:AE5)&gt;0, SUM(D5:AE5), "")</f>
        <v/>
      </c>
      <c r="AG5" s="17" t="str">
        <f t="shared" ref="AG5:AG22" si="2">IF(COUNT(D5:AE5)&gt;0, AVERAGE(D5:AE5),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0" t="str">
        <f t="shared" si="1"/>
        <v/>
      </c>
      <c r="AG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6" t="str">
        <f t="shared" si="1"/>
        <v/>
      </c>
      <c r="AG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0" t="str">
        <f t="shared" si="1"/>
        <v/>
      </c>
      <c r="AG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6" t="str">
        <f t="shared" si="1"/>
        <v/>
      </c>
      <c r="AG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20" t="str">
        <f t="shared" si="1"/>
        <v/>
      </c>
      <c r="AG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6" t="str">
        <f t="shared" si="1"/>
        <v/>
      </c>
      <c r="AG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20" t="str">
        <f t="shared" si="1"/>
        <v/>
      </c>
      <c r="AG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6" t="str">
        <f t="shared" si="1"/>
        <v/>
      </c>
      <c r="AG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20" t="str">
        <f t="shared" si="1"/>
        <v/>
      </c>
      <c r="AG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6" t="str">
        <f t="shared" si="1"/>
        <v/>
      </c>
      <c r="AG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20" t="str">
        <f t="shared" si="1"/>
        <v/>
      </c>
      <c r="AG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6" t="str">
        <f t="shared" si="1"/>
        <v/>
      </c>
      <c r="AG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20" t="str">
        <f t="shared" si="1"/>
        <v/>
      </c>
      <c r="AG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6" t="str">
        <f t="shared" si="1"/>
        <v/>
      </c>
      <c r="AG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20" t="str">
        <f t="shared" si="1"/>
        <v/>
      </c>
      <c r="AG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6" t="str">
        <f t="shared" si="1"/>
        <v/>
      </c>
      <c r="AG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 t="str">
        <f t="shared" si="1"/>
        <v/>
      </c>
      <c r="AG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E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>
        <f>IFERROR(SUM(AF5:AF22), "")</f>
        <v>0</v>
      </c>
      <c r="AG23" s="35"/>
    </row>
    <row r="24" ht="15.75" customHeight="1">
      <c r="A24" s="32" t="s">
        <v>119</v>
      </c>
      <c r="B24" s="33"/>
      <c r="C24" s="26"/>
      <c r="D24" s="36" t="str">
        <f t="shared" ref="D24:AE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5"/>
      <c r="AG24" s="36" t="str">
        <f>IFERROR(AVERAGE(D24:AE24), "")</f>
        <v/>
      </c>
    </row>
    <row r="25" ht="15.75" customHeight="1">
      <c r="A25" s="32" t="s">
        <v>120</v>
      </c>
      <c r="B25" s="33"/>
      <c r="C25" s="26"/>
      <c r="D25" s="34" t="str">
        <f t="shared" ref="D25:AE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5"/>
      <c r="AG25" s="34" t="str">
        <f>IF(AG24="","",IF(AG24&gt;=1.63,"BSB",IF(AG24&gt;=1.26,"BSH",IF(AG24&gt;=0.76,"MB","BB"))))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IF(AG24="","Belum ada data pengisian harian.",IF(AG24&gt;=1.63,"[BSB - Berkembang Sangat Baik | Skor: " &amp; TEXT(AG24,"0.00") &amp; "] Treatment: Anak sangat mandiri &amp; konsisten. Berikan proyek tantangan kepemimpinan dan pengayaan aktivitas baru.",IF(AG24&gt;=1.26,"[BSH - Berkembang Sesuai Harapan | Skor: " &amp; TEXT(AG24,"0.00") &amp; "] Treatment: Anak berkembang sesuai usia. Pertahankan stimulasi rutin harian dan berikan pujian/apresiasi positif.",IF(AG24&gt;=0.76,"[MB - Mulai Berkembang | Skor: " &amp; TEXT(AG24,"0.00") &amp; "] Treatment: Anak masih butuh bimbingan. Lakukan pendampingan personal (scaffolding) dan tingkatkan komunikasi rumah-sekolah.","[BB - Belum Berkembang | Skor: " &amp; TEXT(AG24,"0.00")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G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4" width="6.0"/>
    <col customWidth="1" min="35" max="35" width="12.0"/>
    <col customWidth="1" min="36" max="36" width="16.0"/>
  </cols>
  <sheetData>
    <row r="1">
      <c r="A1" s="1" t="s">
        <v>12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54</v>
      </c>
      <c r="AI4" s="12" t="s">
        <v>46</v>
      </c>
      <c r="AJ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6" t="str">
        <f t="shared" ref="AI5:AI22" si="1">IF(COUNT(D5:AH5)&gt;0, SUM(D5:AH5), "")</f>
        <v/>
      </c>
      <c r="AJ5" s="17" t="str">
        <f t="shared" ref="AJ5:AJ22" si="2">IF(COUNT(D5:AH5)&gt;0, AVERAGE(D5:AH5),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 t="str">
        <f t="shared" si="1"/>
        <v/>
      </c>
      <c r="AJ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6" t="str">
        <f t="shared" si="1"/>
        <v/>
      </c>
      <c r="AJ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 t="str">
        <f t="shared" si="1"/>
        <v/>
      </c>
      <c r="AJ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6" t="str">
        <f t="shared" si="1"/>
        <v/>
      </c>
      <c r="AJ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 t="str">
        <f t="shared" si="1"/>
        <v/>
      </c>
      <c r="AJ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6" t="str">
        <f t="shared" si="1"/>
        <v/>
      </c>
      <c r="AJ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 t="str">
        <f t="shared" si="1"/>
        <v/>
      </c>
      <c r="AJ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6" t="str">
        <f t="shared" si="1"/>
        <v/>
      </c>
      <c r="AJ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 t="str">
        <f t="shared" si="1"/>
        <v/>
      </c>
      <c r="AJ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6" t="str">
        <f t="shared" si="1"/>
        <v/>
      </c>
      <c r="AJ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 t="str">
        <f t="shared" si="1"/>
        <v/>
      </c>
      <c r="AJ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6" t="str">
        <f t="shared" si="1"/>
        <v/>
      </c>
      <c r="AJ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 t="str">
        <f t="shared" si="1"/>
        <v/>
      </c>
      <c r="AJ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 t="str">
        <f t="shared" si="1"/>
        <v/>
      </c>
      <c r="AJ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 t="str">
        <f t="shared" si="1"/>
        <v/>
      </c>
      <c r="AJ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6" t="str">
        <f t="shared" si="1"/>
        <v/>
      </c>
      <c r="AJ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 t="str">
        <f t="shared" si="1"/>
        <v/>
      </c>
      <c r="AJ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H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 t="str">
        <f t="shared" si="3"/>
        <v/>
      </c>
      <c r="AI23" s="34">
        <f>IFERROR(SUM(AI5:AI22), "")</f>
        <v>0</v>
      </c>
      <c r="AJ23" s="35"/>
    </row>
    <row r="24" ht="15.75" customHeight="1">
      <c r="A24" s="32" t="s">
        <v>119</v>
      </c>
      <c r="B24" s="33"/>
      <c r="C24" s="26"/>
      <c r="D24" s="36" t="str">
        <f t="shared" ref="D24:AH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6" t="str">
        <f t="shared" si="4"/>
        <v/>
      </c>
      <c r="AI24" s="35"/>
      <c r="AJ24" s="36" t="str">
        <f>IFERROR(AVERAGE(D24:AH24), "")</f>
        <v/>
      </c>
    </row>
    <row r="25" ht="15.75" customHeight="1">
      <c r="A25" s="32" t="s">
        <v>120</v>
      </c>
      <c r="B25" s="33"/>
      <c r="C25" s="26"/>
      <c r="D25" s="34" t="str">
        <f t="shared" ref="D25:AH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4" t="str">
        <f t="shared" si="5"/>
        <v/>
      </c>
      <c r="AI25" s="35"/>
      <c r="AJ25" s="34" t="str">
        <f>IF(AJ24="","",IF(AJ24&gt;=1.63,"BSB",IF(AJ24&gt;=1.26,"BSH",IF(AJ24&gt;=0.76,"MB","BB"))))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IF(AJ24="","Belum ada data pengisian harian.",IF(AJ24&gt;=1.63,"[BSB - Berkembang Sangat Baik | Skor: " &amp; TEXT(AJ24,"0.00") &amp; "] Treatment: Anak sangat mandiri &amp; konsisten. Berikan proyek tantangan kepemimpinan dan pengayaan aktivitas baru.",IF(AJ24&gt;=1.26,"[BSH - Berkembang Sesuai Harapan | Skor: " &amp; TEXT(AJ24,"0.00") &amp; "] Treatment: Anak berkembang sesuai usia. Pertahankan stimulasi rutin harian dan berikan pujian/apresiasi positif.",IF(AJ24&gt;=0.76,"[MB - Mulai Berkembang | Skor: " &amp; TEXT(AJ24,"0.00") &amp; "] Treatment: Anak masih butuh bimbingan. Lakukan pendampingan personal (scaffolding) dan tingkatkan komunikasi rumah-sekolah.","[BB - Belum Berkembang | Skor: " &amp; TEXT(AJ24,"0.00")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J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3" width="6.0"/>
    <col customWidth="1" min="34" max="34" width="12.0"/>
    <col customWidth="1" min="35" max="35" width="16.0"/>
  </cols>
  <sheetData>
    <row r="1">
      <c r="A1" s="1" t="s">
        <v>122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46</v>
      </c>
      <c r="AI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 t="str">
        <f t="shared" ref="AH5:AH22" si="1">IF(COUNT(D5:AG5)&gt;0, SUM(D5:AG5), "")</f>
        <v/>
      </c>
      <c r="AI5" s="17" t="str">
        <f t="shared" ref="AI5:AI22" si="2">IF(COUNT(D5:AG5)&gt;0, AVERAGE(D5:AG5),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0" t="str">
        <f t="shared" si="1"/>
        <v/>
      </c>
      <c r="AI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 t="str">
        <f t="shared" si="1"/>
        <v/>
      </c>
      <c r="AI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0" t="str">
        <f t="shared" si="1"/>
        <v/>
      </c>
      <c r="AI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 t="str">
        <f t="shared" si="1"/>
        <v/>
      </c>
      <c r="AI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0" t="str">
        <f t="shared" si="1"/>
        <v/>
      </c>
      <c r="AI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 t="str">
        <f t="shared" si="1"/>
        <v/>
      </c>
      <c r="AI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 t="str">
        <f t="shared" si="1"/>
        <v/>
      </c>
      <c r="AI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6" t="str">
        <f t="shared" si="1"/>
        <v/>
      </c>
      <c r="AI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 t="str">
        <f t="shared" si="1"/>
        <v/>
      </c>
      <c r="AI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 t="str">
        <f t="shared" si="1"/>
        <v/>
      </c>
      <c r="AI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 t="str">
        <f t="shared" si="1"/>
        <v/>
      </c>
      <c r="AI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 t="str">
        <f t="shared" si="1"/>
        <v/>
      </c>
      <c r="AI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 t="str">
        <f t="shared" si="1"/>
        <v/>
      </c>
      <c r="AI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6" t="str">
        <f t="shared" si="1"/>
        <v/>
      </c>
      <c r="AI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 t="str">
        <f t="shared" si="1"/>
        <v/>
      </c>
      <c r="AI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6" t="str">
        <f t="shared" si="1"/>
        <v/>
      </c>
      <c r="AI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 t="str">
        <f t="shared" si="1"/>
        <v/>
      </c>
      <c r="AI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G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>
        <f>IFERROR(SUM(AH5:AH22), "")</f>
        <v>0</v>
      </c>
      <c r="AI23" s="35"/>
    </row>
    <row r="24" ht="15.75" customHeight="1">
      <c r="A24" s="32" t="s">
        <v>119</v>
      </c>
      <c r="B24" s="33"/>
      <c r="C24" s="26"/>
      <c r="D24" s="36" t="str">
        <f t="shared" ref="D24:AG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5"/>
      <c r="AI24" s="36" t="str">
        <f>IFERROR(AVERAGE(D24:AG24), "")</f>
        <v/>
      </c>
    </row>
    <row r="25" ht="15.75" customHeight="1">
      <c r="A25" s="32" t="s">
        <v>120</v>
      </c>
      <c r="B25" s="33"/>
      <c r="C25" s="26"/>
      <c r="D25" s="34" t="str">
        <f t="shared" ref="D25:AG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5"/>
      <c r="AI25" s="34" t="str">
        <f>IF(AI24="","",IF(AI24&gt;=1.63,"BSB",IF(AI24&gt;=1.26,"BSH",IF(AI24&gt;=0.76,"MB","BB"))))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IF(AI24="","Belum ada data pengisian harian.",IF(AI24&gt;=1.63,"[BSB - Berkembang Sangat Baik | Skor: " &amp; TEXT(AI24,"0.00") &amp; "] Treatment: Anak sangat mandiri &amp; konsisten. Berikan proyek tantangan kepemimpinan dan pengayaan aktivitas baru.",IF(AI24&gt;=1.26,"[BSH - Berkembang Sesuai Harapan | Skor: " &amp; TEXT(AI24,"0.00") &amp; "] Treatment: Anak berkembang sesuai usia. Pertahankan stimulasi rutin harian dan berikan pujian/apresiasi positif.",IF(AI24&gt;=0.76,"[MB - Mulai Berkembang | Skor: " &amp; TEXT(AI24,"0.00") &amp; "] Treatment: Anak masih butuh bimbingan. Lakukan pendampingan personal (scaffolding) dan tingkatkan komunikasi rumah-sekolah.","[BB - Belum Berkembang | Skor: " &amp; TEXT(AI24,"0.00")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I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4" width="6.0"/>
    <col customWidth="1" min="35" max="35" width="12.0"/>
    <col customWidth="1" min="36" max="36" width="16.0"/>
  </cols>
  <sheetData>
    <row r="1">
      <c r="A1" s="1" t="s">
        <v>123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54</v>
      </c>
      <c r="AI4" s="12" t="s">
        <v>46</v>
      </c>
      <c r="AJ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6" t="str">
        <f t="shared" ref="AI5:AI22" si="1">IF(COUNT(D5:AH5)&gt;0, SUM(D5:AH5), "")</f>
        <v/>
      </c>
      <c r="AJ5" s="17" t="str">
        <f t="shared" ref="AJ5:AJ22" si="2">IF(COUNT(D5:AH5)&gt;0, AVERAGE(D5:AH5),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 t="str">
        <f t="shared" si="1"/>
        <v/>
      </c>
      <c r="AJ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6" t="str">
        <f t="shared" si="1"/>
        <v/>
      </c>
      <c r="AJ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 t="str">
        <f t="shared" si="1"/>
        <v/>
      </c>
      <c r="AJ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6" t="str">
        <f t="shared" si="1"/>
        <v/>
      </c>
      <c r="AJ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 t="str">
        <f t="shared" si="1"/>
        <v/>
      </c>
      <c r="AJ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6" t="str">
        <f t="shared" si="1"/>
        <v/>
      </c>
      <c r="AJ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 t="str">
        <f t="shared" si="1"/>
        <v/>
      </c>
      <c r="AJ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6" t="str">
        <f t="shared" si="1"/>
        <v/>
      </c>
      <c r="AJ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 t="str">
        <f t="shared" si="1"/>
        <v/>
      </c>
      <c r="AJ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6" t="str">
        <f t="shared" si="1"/>
        <v/>
      </c>
      <c r="AJ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 t="str">
        <f t="shared" si="1"/>
        <v/>
      </c>
      <c r="AJ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6" t="str">
        <f t="shared" si="1"/>
        <v/>
      </c>
      <c r="AJ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 t="str">
        <f t="shared" si="1"/>
        <v/>
      </c>
      <c r="AJ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 t="str">
        <f t="shared" si="1"/>
        <v/>
      </c>
      <c r="AJ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 t="str">
        <f t="shared" si="1"/>
        <v/>
      </c>
      <c r="AJ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6" t="str">
        <f t="shared" si="1"/>
        <v/>
      </c>
      <c r="AJ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 t="str">
        <f t="shared" si="1"/>
        <v/>
      </c>
      <c r="AJ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H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 t="str">
        <f t="shared" si="3"/>
        <v/>
      </c>
      <c r="AI23" s="34">
        <f>IFERROR(SUM(AI5:AI22), "")</f>
        <v>0</v>
      </c>
      <c r="AJ23" s="35"/>
    </row>
    <row r="24" ht="15.75" customHeight="1">
      <c r="A24" s="32" t="s">
        <v>119</v>
      </c>
      <c r="B24" s="33"/>
      <c r="C24" s="26"/>
      <c r="D24" s="36" t="str">
        <f t="shared" ref="D24:AH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6" t="str">
        <f t="shared" si="4"/>
        <v/>
      </c>
      <c r="AI24" s="35"/>
      <c r="AJ24" s="36" t="str">
        <f>IFERROR(AVERAGE(D24:AH24), "")</f>
        <v/>
      </c>
    </row>
    <row r="25" ht="15.75" customHeight="1">
      <c r="A25" s="32" t="s">
        <v>120</v>
      </c>
      <c r="B25" s="33"/>
      <c r="C25" s="26"/>
      <c r="D25" s="34" t="str">
        <f t="shared" ref="D25:AH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4" t="str">
        <f t="shared" si="5"/>
        <v/>
      </c>
      <c r="AI25" s="35"/>
      <c r="AJ25" s="34" t="str">
        <f>IF(AJ24="","",IF(AJ24&gt;=1.63,"BSB",IF(AJ24&gt;=1.26,"BSH",IF(AJ24&gt;=0.76,"MB","BB"))))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IF(AJ24="","Belum ada data pengisian harian.",IF(AJ24&gt;=1.63,"[BSB - Berkembang Sangat Baik | Skor: " &amp; TEXT(AJ24,"0.00") &amp; "] Treatment: Anak sangat mandiri &amp; konsisten. Berikan proyek tantangan kepemimpinan dan pengayaan aktivitas baru.",IF(AJ24&gt;=1.26,"[BSH - Berkembang Sesuai Harapan | Skor: " &amp; TEXT(AJ24,"0.00") &amp; "] Treatment: Anak berkembang sesuai usia. Pertahankan stimulasi rutin harian dan berikan pujian/apresiasi positif.",IF(AJ24&gt;=0.76,"[MB - Mulai Berkembang | Skor: " &amp; TEXT(AJ24,"0.00") &amp; "] Treatment: Anak masih butuh bimbingan. Lakukan pendampingan personal (scaffolding) dan tingkatkan komunikasi rumah-sekolah.","[BB - Belum Berkembang | Skor: " &amp; TEXT(AJ24,"0.00")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J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3" width="6.0"/>
    <col customWidth="1" min="34" max="34" width="12.0"/>
    <col customWidth="1" min="35" max="35" width="16.0"/>
  </cols>
  <sheetData>
    <row r="1">
      <c r="A1" s="1" t="s">
        <v>124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46</v>
      </c>
      <c r="AI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 t="str">
        <f t="shared" ref="AH5:AH22" si="1">IF(COUNT(D5:AG5)&gt;0, SUM(D5:AG5), "")</f>
        <v/>
      </c>
      <c r="AI5" s="17" t="str">
        <f t="shared" ref="AI5:AI22" si="2">IF(COUNT(D5:AG5)&gt;0, AVERAGE(D5:AG5),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0" t="str">
        <f t="shared" si="1"/>
        <v/>
      </c>
      <c r="AI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 t="str">
        <f t="shared" si="1"/>
        <v/>
      </c>
      <c r="AI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0" t="str">
        <f t="shared" si="1"/>
        <v/>
      </c>
      <c r="AI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 t="str">
        <f t="shared" si="1"/>
        <v/>
      </c>
      <c r="AI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0" t="str">
        <f t="shared" si="1"/>
        <v/>
      </c>
      <c r="AI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 t="str">
        <f t="shared" si="1"/>
        <v/>
      </c>
      <c r="AI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 t="str">
        <f t="shared" si="1"/>
        <v/>
      </c>
      <c r="AI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6" t="str">
        <f t="shared" si="1"/>
        <v/>
      </c>
      <c r="AI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 t="str">
        <f t="shared" si="1"/>
        <v/>
      </c>
      <c r="AI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 t="str">
        <f t="shared" si="1"/>
        <v/>
      </c>
      <c r="AI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 t="str">
        <f t="shared" si="1"/>
        <v/>
      </c>
      <c r="AI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 t="str">
        <f t="shared" si="1"/>
        <v/>
      </c>
      <c r="AI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 t="str">
        <f t="shared" si="1"/>
        <v/>
      </c>
      <c r="AI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6" t="str">
        <f t="shared" si="1"/>
        <v/>
      </c>
      <c r="AI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 t="str">
        <f t="shared" si="1"/>
        <v/>
      </c>
      <c r="AI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6" t="str">
        <f t="shared" si="1"/>
        <v/>
      </c>
      <c r="AI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 t="str">
        <f t="shared" si="1"/>
        <v/>
      </c>
      <c r="AI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G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>
        <f>IFERROR(SUM(AH5:AH22), "")</f>
        <v>0</v>
      </c>
      <c r="AI23" s="35"/>
    </row>
    <row r="24" ht="15.75" customHeight="1">
      <c r="A24" s="32" t="s">
        <v>119</v>
      </c>
      <c r="B24" s="33"/>
      <c r="C24" s="26"/>
      <c r="D24" s="36" t="str">
        <f t="shared" ref="D24:AG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5"/>
      <c r="AI24" s="36" t="str">
        <f>IFERROR(AVERAGE(D24:AG24), "")</f>
        <v/>
      </c>
    </row>
    <row r="25" ht="15.75" customHeight="1">
      <c r="A25" s="32" t="s">
        <v>120</v>
      </c>
      <c r="B25" s="33"/>
      <c r="C25" s="26"/>
      <c r="D25" s="34" t="str">
        <f t="shared" ref="D25:AG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5"/>
      <c r="AI25" s="34" t="str">
        <f>IF(AI24="","",IF(AI24&gt;=1.63,"BSB",IF(AI24&gt;=1.26,"BSH",IF(AI24&gt;=0.76,"MB","BB"))))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IF(AI24="","Belum ada data pengisian harian.",IF(AI24&gt;=1.63,"[BSB - Berkembang Sangat Baik | Skor: " &amp; TEXT(AI24,"0.00") &amp; "] Treatment: Anak sangat mandiri &amp; konsisten. Berikan proyek tantangan kepemimpinan dan pengayaan aktivitas baru.",IF(AI24&gt;=1.26,"[BSH - Berkembang Sesuai Harapan | Skor: " &amp; TEXT(AI24,"0.00") &amp; "] Treatment: Anak berkembang sesuai usia. Pertahankan stimulasi rutin harian dan berikan pujian/apresiasi positif.",IF(AI24&gt;=0.76,"[MB - Mulai Berkembang | Skor: " &amp; TEXT(AI24,"0.00") &amp; "] Treatment: Anak masih butuh bimbingan. Lakukan pendampingan personal (scaffolding) dan tingkatkan komunikasi rumah-sekolah.","[BB - Belum Berkembang | Skor: " &amp; TEXT(AI24,"0.00")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I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4" width="6.0"/>
    <col customWidth="1" min="35" max="35" width="12.0"/>
    <col customWidth="1" min="36" max="36" width="16.0"/>
  </cols>
  <sheetData>
    <row r="1">
      <c r="A1" s="1" t="s">
        <v>125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54</v>
      </c>
      <c r="AI4" s="12" t="s">
        <v>46</v>
      </c>
      <c r="AJ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6" t="str">
        <f t="shared" ref="AI5:AI22" si="1">IF(COUNT(D5:AH5)&gt;0, SUM(D5:AH5), "")</f>
        <v/>
      </c>
      <c r="AJ5" s="17" t="str">
        <f t="shared" ref="AJ5:AJ22" si="2">IF(COUNT(D5:AH5)&gt;0, AVERAGE(D5:AH5),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 t="str">
        <f t="shared" si="1"/>
        <v/>
      </c>
      <c r="AJ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6" t="str">
        <f t="shared" si="1"/>
        <v/>
      </c>
      <c r="AJ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 t="str">
        <f t="shared" si="1"/>
        <v/>
      </c>
      <c r="AJ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6" t="str">
        <f t="shared" si="1"/>
        <v/>
      </c>
      <c r="AJ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 t="str">
        <f t="shared" si="1"/>
        <v/>
      </c>
      <c r="AJ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6" t="str">
        <f t="shared" si="1"/>
        <v/>
      </c>
      <c r="AJ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 t="str">
        <f t="shared" si="1"/>
        <v/>
      </c>
      <c r="AJ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6" t="str">
        <f t="shared" si="1"/>
        <v/>
      </c>
      <c r="AJ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 t="str">
        <f t="shared" si="1"/>
        <v/>
      </c>
      <c r="AJ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6" t="str">
        <f t="shared" si="1"/>
        <v/>
      </c>
      <c r="AJ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 t="str">
        <f t="shared" si="1"/>
        <v/>
      </c>
      <c r="AJ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6" t="str">
        <f t="shared" si="1"/>
        <v/>
      </c>
      <c r="AJ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 t="str">
        <f t="shared" si="1"/>
        <v/>
      </c>
      <c r="AJ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 t="str">
        <f t="shared" si="1"/>
        <v/>
      </c>
      <c r="AJ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 t="str">
        <f t="shared" si="1"/>
        <v/>
      </c>
      <c r="AJ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6" t="str">
        <f t="shared" si="1"/>
        <v/>
      </c>
      <c r="AJ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 t="str">
        <f t="shared" si="1"/>
        <v/>
      </c>
      <c r="AJ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H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 t="str">
        <f t="shared" si="3"/>
        <v/>
      </c>
      <c r="AI23" s="34">
        <f>IFERROR(SUM(AI5:AI22), "")</f>
        <v>0</v>
      </c>
      <c r="AJ23" s="35"/>
    </row>
    <row r="24" ht="15.75" customHeight="1">
      <c r="A24" s="32" t="s">
        <v>119</v>
      </c>
      <c r="B24" s="33"/>
      <c r="C24" s="26"/>
      <c r="D24" s="36" t="str">
        <f t="shared" ref="D24:AH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6" t="str">
        <f t="shared" si="4"/>
        <v/>
      </c>
      <c r="AI24" s="35"/>
      <c r="AJ24" s="36" t="str">
        <f>IFERROR(AVERAGE(D24:AH24), "")</f>
        <v/>
      </c>
    </row>
    <row r="25" ht="15.75" customHeight="1">
      <c r="A25" s="32" t="s">
        <v>120</v>
      </c>
      <c r="B25" s="33"/>
      <c r="C25" s="26"/>
      <c r="D25" s="34" t="str">
        <f t="shared" ref="D25:AH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4" t="str">
        <f t="shared" si="5"/>
        <v/>
      </c>
      <c r="AI25" s="35"/>
      <c r="AJ25" s="34" t="str">
        <f>IF(AJ24="","",IF(AJ24&gt;=1.63,"BSB",IF(AJ24&gt;=1.26,"BSH",IF(AJ24&gt;=0.76,"MB","BB"))))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IF(AJ24="","Belum ada data pengisian harian.",IF(AJ24&gt;=1.63,"[BSB - Berkembang Sangat Baik | Skor: " &amp; TEXT(AJ24,"0.00") &amp; "] Treatment: Anak sangat mandiri &amp; konsisten. Berikan proyek tantangan kepemimpinan dan pengayaan aktivitas baru.",IF(AJ24&gt;=1.26,"[BSH - Berkembang Sesuai Harapan | Skor: " &amp; TEXT(AJ24,"0.00") &amp; "] Treatment: Anak berkembang sesuai usia. Pertahankan stimulasi rutin harian dan berikan pujian/apresiasi positif.",IF(AJ24&gt;=0.76,"[MB - Mulai Berkembang | Skor: " &amp; TEXT(AJ24,"0.00") &amp; "] Treatment: Anak masih butuh bimbingan. Lakukan pendampingan personal (scaffolding) dan tingkatkan komunikasi rumah-sekolah.","[BB - Belum Berkembang | Skor: " &amp; TEXT(AJ24,"0.00")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J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4" width="6.0"/>
    <col customWidth="1" min="35" max="35" width="12.0"/>
    <col customWidth="1" min="36" max="36" width="16.0"/>
  </cols>
  <sheetData>
    <row r="1">
      <c r="A1" s="1" t="s">
        <v>127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54</v>
      </c>
      <c r="AI4" s="12" t="s">
        <v>46</v>
      </c>
      <c r="AJ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6" t="str">
        <f t="shared" ref="AI5:AI22" si="1">IF(COUNT(D5:AH5)&gt;0, SUM(D5:AH5), "")</f>
        <v/>
      </c>
      <c r="AJ5" s="17" t="str">
        <f t="shared" ref="AJ5:AJ22" si="2">IF(COUNT(D5:AH5)&gt;0, AVERAGE(D5:AH5),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 t="str">
        <f t="shared" si="1"/>
        <v/>
      </c>
      <c r="AJ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6" t="str">
        <f t="shared" si="1"/>
        <v/>
      </c>
      <c r="AJ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 t="str">
        <f t="shared" si="1"/>
        <v/>
      </c>
      <c r="AJ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6" t="str">
        <f t="shared" si="1"/>
        <v/>
      </c>
      <c r="AJ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 t="str">
        <f t="shared" si="1"/>
        <v/>
      </c>
      <c r="AJ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6" t="str">
        <f t="shared" si="1"/>
        <v/>
      </c>
      <c r="AJ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 t="str">
        <f t="shared" si="1"/>
        <v/>
      </c>
      <c r="AJ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6" t="str">
        <f t="shared" si="1"/>
        <v/>
      </c>
      <c r="AJ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 t="str">
        <f t="shared" si="1"/>
        <v/>
      </c>
      <c r="AJ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6" t="str">
        <f t="shared" si="1"/>
        <v/>
      </c>
      <c r="AJ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 t="str">
        <f t="shared" si="1"/>
        <v/>
      </c>
      <c r="AJ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6" t="str">
        <f t="shared" si="1"/>
        <v/>
      </c>
      <c r="AJ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 t="str">
        <f t="shared" si="1"/>
        <v/>
      </c>
      <c r="AJ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 t="str">
        <f t="shared" si="1"/>
        <v/>
      </c>
      <c r="AJ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 t="str">
        <f t="shared" si="1"/>
        <v/>
      </c>
      <c r="AJ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6" t="str">
        <f t="shared" si="1"/>
        <v/>
      </c>
      <c r="AJ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 t="str">
        <f t="shared" si="1"/>
        <v/>
      </c>
      <c r="AJ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H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 t="str">
        <f t="shared" si="3"/>
        <v/>
      </c>
      <c r="AI23" s="34">
        <f>IFERROR(SUM(AI5:AI22), "")</f>
        <v>0</v>
      </c>
      <c r="AJ23" s="35"/>
    </row>
    <row r="24" ht="15.75" customHeight="1">
      <c r="A24" s="32" t="s">
        <v>119</v>
      </c>
      <c r="B24" s="33"/>
      <c r="C24" s="26"/>
      <c r="D24" s="36" t="str">
        <f t="shared" ref="D24:AH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6" t="str">
        <f t="shared" si="4"/>
        <v/>
      </c>
      <c r="AI24" s="35"/>
      <c r="AJ24" s="36" t="str">
        <f>IFERROR(AVERAGE(D24:AH24), "")</f>
        <v/>
      </c>
    </row>
    <row r="25" ht="15.75" customHeight="1">
      <c r="A25" s="32" t="s">
        <v>120</v>
      </c>
      <c r="B25" s="33"/>
      <c r="C25" s="26"/>
      <c r="D25" s="34" t="str">
        <f t="shared" ref="D25:AH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4" t="str">
        <f t="shared" si="5"/>
        <v/>
      </c>
      <c r="AI25" s="35"/>
      <c r="AJ25" s="34" t="str">
        <f>IF(AJ24="","",IF(AJ24&gt;=1.63,"BSB",IF(AJ24&gt;=1.26,"BSH",IF(AJ24&gt;=0.76,"MB","BB"))))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IF(AJ24="","Belum ada data pengisian harian.",IF(AJ24&gt;=1.63,"[BSB - Berkembang Sangat Baik | Skor: " &amp; TEXT(AJ24,"0.00") &amp; "] Treatment: Anak sangat mandiri &amp; konsisten. Berikan proyek tantangan kepemimpinan dan pengayaan aktivitas baru.",IF(AJ24&gt;=1.26,"[BSH - Berkembang Sesuai Harapan | Skor: " &amp; TEXT(AJ24,"0.00") &amp; "] Treatment: Anak berkembang sesuai usia. Pertahankan stimulasi rutin harian dan berikan pujian/apresiasi positif.",IF(AJ24&gt;=0.76,"[MB - Mulai Berkembang | Skor: " &amp; TEXT(AJ24,"0.00") &amp; "] Treatment: Anak masih butuh bimbingan. Lakukan pendampingan personal (scaffolding) dan tingkatkan komunikasi rumah-sekolah.","[BB - Belum Berkembang | Skor: " &amp; TEXT(AJ24,"0.00")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J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3" width="6.0"/>
    <col customWidth="1" min="34" max="34" width="12.0"/>
    <col customWidth="1" min="35" max="35" width="16.0"/>
  </cols>
  <sheetData>
    <row r="1">
      <c r="A1" s="1" t="s">
        <v>126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46</v>
      </c>
      <c r="AI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 t="str">
        <f t="shared" ref="AH5:AH22" si="1">IF(COUNT(D5:AG5)&gt;0, SUM(D5:AG5), "")</f>
        <v/>
      </c>
      <c r="AI5" s="17" t="str">
        <f t="shared" ref="AI5:AI22" si="2">IF(COUNT(D5:AG5)&gt;0, AVERAGE(D5:AG5),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0" t="str">
        <f t="shared" si="1"/>
        <v/>
      </c>
      <c r="AI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 t="str">
        <f t="shared" si="1"/>
        <v/>
      </c>
      <c r="AI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0" t="str">
        <f t="shared" si="1"/>
        <v/>
      </c>
      <c r="AI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 t="str">
        <f t="shared" si="1"/>
        <v/>
      </c>
      <c r="AI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0" t="str">
        <f t="shared" si="1"/>
        <v/>
      </c>
      <c r="AI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 t="str">
        <f t="shared" si="1"/>
        <v/>
      </c>
      <c r="AI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 t="str">
        <f t="shared" si="1"/>
        <v/>
      </c>
      <c r="AI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6" t="str">
        <f t="shared" si="1"/>
        <v/>
      </c>
      <c r="AI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 t="str">
        <f t="shared" si="1"/>
        <v/>
      </c>
      <c r="AI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 t="str">
        <f t="shared" si="1"/>
        <v/>
      </c>
      <c r="AI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 t="str">
        <f t="shared" si="1"/>
        <v/>
      </c>
      <c r="AI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 t="str">
        <f t="shared" si="1"/>
        <v/>
      </c>
      <c r="AI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 t="str">
        <f t="shared" si="1"/>
        <v/>
      </c>
      <c r="AI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6" t="str">
        <f t="shared" si="1"/>
        <v/>
      </c>
      <c r="AI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 t="str">
        <f t="shared" si="1"/>
        <v/>
      </c>
      <c r="AI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6" t="str">
        <f t="shared" si="1"/>
        <v/>
      </c>
      <c r="AI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 t="str">
        <f t="shared" si="1"/>
        <v/>
      </c>
      <c r="AI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G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>
        <f>IFERROR(SUM(AH5:AH22), "")</f>
        <v>0</v>
      </c>
      <c r="AI23" s="35"/>
    </row>
    <row r="24" ht="15.75" customHeight="1">
      <c r="A24" s="32" t="s">
        <v>119</v>
      </c>
      <c r="B24" s="33"/>
      <c r="C24" s="26"/>
      <c r="D24" s="36" t="str">
        <f t="shared" ref="D24:AG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5"/>
      <c r="AI24" s="36" t="str">
        <f>IFERROR(AVERAGE(D24:AG24), "")</f>
        <v/>
      </c>
    </row>
    <row r="25" ht="15.75" customHeight="1">
      <c r="A25" s="32" t="s">
        <v>120</v>
      </c>
      <c r="B25" s="33"/>
      <c r="C25" s="26"/>
      <c r="D25" s="34" t="str">
        <f t="shared" ref="D25:AG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5"/>
      <c r="AI25" s="34" t="str">
        <f>IF(AI24="","",IF(AI24&gt;=1.63,"BSB",IF(AI24&gt;=1.26,"BSH",IF(AI24&gt;=0.76,"MB","BB"))))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IF(AI24="","Belum ada data pengisian harian.",IF(AI24&gt;=1.63,"[BSB - Berkembang Sangat Baik | Skor: " &amp; TEXT(AI24,"0.00") &amp; "] Treatment: Anak sangat mandiri &amp; konsisten. Berikan proyek tantangan kepemimpinan dan pengayaan aktivitas baru.",IF(AI24&gt;=1.26,"[BSH - Berkembang Sesuai Harapan | Skor: " &amp; TEXT(AI24,"0.00") &amp; "] Treatment: Anak berkembang sesuai usia. Pertahankan stimulasi rutin harian dan berikan pujian/apresiasi positif.",IF(AI24&gt;=0.76,"[MB - Mulai Berkembang | Skor: " &amp; TEXT(AI24,"0.00") &amp; "] Treatment: Anak masih butuh bimbingan. Lakukan pendampingan personal (scaffolding) dan tingkatkan komunikasi rumah-sekolah.","[BB - Belum Berkembang | Skor: " &amp; TEXT(AI24,"0.00")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I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4" width="6.0"/>
    <col customWidth="1" min="35" max="35" width="12.0"/>
    <col customWidth="1" min="36" max="36" width="16.0"/>
  </cols>
  <sheetData>
    <row r="1">
      <c r="A1" s="1" t="s">
        <v>128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54</v>
      </c>
      <c r="AI4" s="12" t="s">
        <v>46</v>
      </c>
      <c r="AJ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6" t="str">
        <f t="shared" ref="AI5:AI22" si="1">IF(COUNT(D5:AH5)&gt;0, SUM(D5:AH5), "")</f>
        <v/>
      </c>
      <c r="AJ5" s="17" t="str">
        <f t="shared" ref="AJ5:AJ22" si="2">IF(COUNT(D5:AH5)&gt;0, AVERAGE(D5:AH5),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 t="str">
        <f t="shared" si="1"/>
        <v/>
      </c>
      <c r="AJ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6" t="str">
        <f t="shared" si="1"/>
        <v/>
      </c>
      <c r="AJ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 t="str">
        <f t="shared" si="1"/>
        <v/>
      </c>
      <c r="AJ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6" t="str">
        <f t="shared" si="1"/>
        <v/>
      </c>
      <c r="AJ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 t="str">
        <f t="shared" si="1"/>
        <v/>
      </c>
      <c r="AJ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6" t="str">
        <f t="shared" si="1"/>
        <v/>
      </c>
      <c r="AJ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 t="str">
        <f t="shared" si="1"/>
        <v/>
      </c>
      <c r="AJ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6" t="str">
        <f t="shared" si="1"/>
        <v/>
      </c>
      <c r="AJ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 t="str">
        <f t="shared" si="1"/>
        <v/>
      </c>
      <c r="AJ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6" t="str">
        <f t="shared" si="1"/>
        <v/>
      </c>
      <c r="AJ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 t="str">
        <f t="shared" si="1"/>
        <v/>
      </c>
      <c r="AJ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6" t="str">
        <f t="shared" si="1"/>
        <v/>
      </c>
      <c r="AJ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 t="str">
        <f t="shared" si="1"/>
        <v/>
      </c>
      <c r="AJ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 t="str">
        <f t="shared" si="1"/>
        <v/>
      </c>
      <c r="AJ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 t="str">
        <f t="shared" si="1"/>
        <v/>
      </c>
      <c r="AJ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6" t="str">
        <f t="shared" si="1"/>
        <v/>
      </c>
      <c r="AJ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 t="str">
        <f t="shared" si="1"/>
        <v/>
      </c>
      <c r="AJ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H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 t="str">
        <f t="shared" si="3"/>
        <v/>
      </c>
      <c r="AI23" s="34">
        <f>IFERROR(SUM(AI5:AI22), "")</f>
        <v>0</v>
      </c>
      <c r="AJ23" s="35"/>
    </row>
    <row r="24" ht="15.75" customHeight="1">
      <c r="A24" s="32" t="s">
        <v>119</v>
      </c>
      <c r="B24" s="33"/>
      <c r="C24" s="26"/>
      <c r="D24" s="36" t="str">
        <f t="shared" ref="D24:AH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6" t="str">
        <f t="shared" si="4"/>
        <v/>
      </c>
      <c r="AI24" s="35"/>
      <c r="AJ24" s="36" t="str">
        <f>IFERROR(AVERAGE(D24:AH24), "")</f>
        <v/>
      </c>
    </row>
    <row r="25" ht="15.75" customHeight="1">
      <c r="A25" s="32" t="s">
        <v>120</v>
      </c>
      <c r="B25" s="33"/>
      <c r="C25" s="26"/>
      <c r="D25" s="34" t="str">
        <f t="shared" ref="D25:AH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4" t="str">
        <f t="shared" si="5"/>
        <v/>
      </c>
      <c r="AI25" s="35"/>
      <c r="AJ25" s="34" t="str">
        <f>IF(AJ24="","",IF(AJ24&gt;=1.63,"BSB",IF(AJ24&gt;=1.26,"BSH",IF(AJ24&gt;=0.76,"MB","BB"))))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IF(AJ24="","Belum ada data pengisian harian.",IF(AJ24&gt;=1.63,"[BSB - Berkembang Sangat Baik | Skor: " &amp; TEXT(AJ24,"0.00") &amp; "] Treatment: Anak sangat mandiri &amp; konsisten. Berikan proyek tantangan kepemimpinan dan pengayaan aktivitas baru.",IF(AJ24&gt;=1.26,"[BSH - Berkembang Sesuai Harapan | Skor: " &amp; TEXT(AJ24,"0.00") &amp; "] Treatment: Anak berkembang sesuai usia. Pertahankan stimulasi rutin harian dan berikan pujian/apresiasi positif.",IF(AJ24&gt;=0.76,"[MB - Mulai Berkembang | Skor: " &amp; TEXT(AJ24,"0.00") &amp; "] Treatment: Anak masih butuh bimbingan. Lakukan pendampingan personal (scaffolding) dan tingkatkan komunikasi rumah-sekolah.","[BB - Belum Berkembang | Skor: " &amp; TEXT(AJ24,"0.00")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J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3" width="6.0"/>
    <col customWidth="1" min="34" max="34" width="12.0"/>
    <col customWidth="1" min="35" max="35" width="16.0"/>
  </cols>
  <sheetData>
    <row r="1">
      <c r="A1" s="1" t="s">
        <v>129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46</v>
      </c>
      <c r="AI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 t="str">
        <f t="shared" ref="AH5:AH22" si="1">IF(COUNT(D5:AG5)&gt;0, SUM(D5:AG5), "")</f>
        <v/>
      </c>
      <c r="AI5" s="17" t="str">
        <f t="shared" ref="AI5:AI22" si="2">IF(COUNT(D5:AG5)&gt;0, AVERAGE(D5:AG5),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0" t="str">
        <f t="shared" si="1"/>
        <v/>
      </c>
      <c r="AI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 t="str">
        <f t="shared" si="1"/>
        <v/>
      </c>
      <c r="AI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0" t="str">
        <f t="shared" si="1"/>
        <v/>
      </c>
      <c r="AI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 t="str">
        <f t="shared" si="1"/>
        <v/>
      </c>
      <c r="AI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0" t="str">
        <f t="shared" si="1"/>
        <v/>
      </c>
      <c r="AI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 t="str">
        <f t="shared" si="1"/>
        <v/>
      </c>
      <c r="AI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 t="str">
        <f t="shared" si="1"/>
        <v/>
      </c>
      <c r="AI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6" t="str">
        <f t="shared" si="1"/>
        <v/>
      </c>
      <c r="AI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 t="str">
        <f t="shared" si="1"/>
        <v/>
      </c>
      <c r="AI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 t="str">
        <f t="shared" si="1"/>
        <v/>
      </c>
      <c r="AI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 t="str">
        <f t="shared" si="1"/>
        <v/>
      </c>
      <c r="AI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 t="str">
        <f t="shared" si="1"/>
        <v/>
      </c>
      <c r="AI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 t="str">
        <f t="shared" si="1"/>
        <v/>
      </c>
      <c r="AI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6" t="str">
        <f t="shared" si="1"/>
        <v/>
      </c>
      <c r="AI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 t="str">
        <f t="shared" si="1"/>
        <v/>
      </c>
      <c r="AI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6" t="str">
        <f t="shared" si="1"/>
        <v/>
      </c>
      <c r="AI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 t="str">
        <f t="shared" si="1"/>
        <v/>
      </c>
      <c r="AI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G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>
        <f>IFERROR(SUM(AH5:AH22), "")</f>
        <v>0</v>
      </c>
      <c r="AI23" s="35"/>
    </row>
    <row r="24" ht="15.75" customHeight="1">
      <c r="A24" s="32" t="s">
        <v>119</v>
      </c>
      <c r="B24" s="33"/>
      <c r="C24" s="26"/>
      <c r="D24" s="36" t="str">
        <f t="shared" ref="D24:AG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5"/>
      <c r="AI24" s="36" t="str">
        <f>IFERROR(AVERAGE(D24:AG24), "")</f>
        <v/>
      </c>
    </row>
    <row r="25" ht="15.75" customHeight="1">
      <c r="A25" s="32" t="s">
        <v>120</v>
      </c>
      <c r="B25" s="33"/>
      <c r="C25" s="26"/>
      <c r="D25" s="34" t="str">
        <f t="shared" ref="D25:AG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5"/>
      <c r="AI25" s="34" t="str">
        <f>IF(AI24="","",IF(AI24&gt;=1.63,"BSB",IF(AI24&gt;=1.26,"BSH",IF(AI24&gt;=0.76,"MB","BB"))))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IF(AI24="","Belum ada data pengisian harian.",IF(AI24&gt;=1.63,"[BSB - Berkembang Sangat Baik | Skor: " &amp; TEXT(AI24,"0.00") &amp; "] Treatment: Anak sangat mandiri &amp; konsisten. Berikan proyek tantangan kepemimpinan dan pengayaan aktivitas baru.",IF(AI24&gt;=1.26,"[BSH - Berkembang Sesuai Harapan | Skor: " &amp; TEXT(AI24,"0.00") &amp; "] Treatment: Anak berkembang sesuai usia. Pertahankan stimulasi rutin harian dan berikan pujian/apresiasi positif.",IF(AI24&gt;=0.76,"[MB - Mulai Berkembang | Skor: " &amp; TEXT(AI24,"0.00") &amp; "] Treatment: Anak masih butuh bimbingan. Lakukan pendampingan personal (scaffolding) dan tingkatkan komunikasi rumah-sekolah.","[BB - Belum Berkembang | Skor: " &amp; TEXT(AI24,"0.00")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I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45.0"/>
    <col customWidth="1" min="4" max="34" width="6.0"/>
    <col customWidth="1" min="35" max="35" width="12.0"/>
    <col customWidth="1" min="36" max="36" width="16.0"/>
  </cols>
  <sheetData>
    <row r="1">
      <c r="A1" s="1" t="s">
        <v>130</v>
      </c>
    </row>
    <row r="2">
      <c r="A2" s="2" t="s">
        <v>1</v>
      </c>
    </row>
    <row r="4" ht="27.75" customHeight="1">
      <c r="A4" s="12" t="s">
        <v>11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  <c r="W4" s="12" t="s">
        <v>36</v>
      </c>
      <c r="X4" s="12" t="s">
        <v>37</v>
      </c>
      <c r="Y4" s="12" t="s">
        <v>38</v>
      </c>
      <c r="Z4" s="12" t="s">
        <v>39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52</v>
      </c>
      <c r="AG4" s="12" t="s">
        <v>53</v>
      </c>
      <c r="AH4" s="12" t="s">
        <v>54</v>
      </c>
      <c r="AI4" s="12" t="s">
        <v>46</v>
      </c>
      <c r="AJ4" s="12" t="s">
        <v>47</v>
      </c>
    </row>
    <row r="5">
      <c r="A5" s="13" t="s">
        <v>48</v>
      </c>
      <c r="B5" s="13" t="s">
        <v>49</v>
      </c>
      <c r="C5" s="13" t="s">
        <v>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6" t="str">
        <f t="shared" ref="AI5:AI22" si="1">IF(COUNT(D5:AH5)&gt;0, SUM(D5:AH5), "")</f>
        <v/>
      </c>
      <c r="AJ5" s="17" t="str">
        <f t="shared" ref="AJ5:AJ22" si="2">IF(COUNT(D5:AH5)&gt;0, AVERAGE(D5:AH5), "")</f>
        <v/>
      </c>
    </row>
    <row r="6">
      <c r="A6" s="18" t="s">
        <v>48</v>
      </c>
      <c r="B6" s="18" t="s">
        <v>58</v>
      </c>
      <c r="C6" s="18" t="s">
        <v>59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 t="str">
        <f t="shared" si="1"/>
        <v/>
      </c>
      <c r="AJ6" s="21" t="str">
        <f t="shared" si="2"/>
        <v/>
      </c>
    </row>
    <row r="7">
      <c r="A7" s="13" t="s">
        <v>48</v>
      </c>
      <c r="B7" s="13" t="s">
        <v>61</v>
      </c>
      <c r="C7" s="13" t="s">
        <v>59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6" t="str">
        <f t="shared" si="1"/>
        <v/>
      </c>
      <c r="AJ7" s="17" t="str">
        <f t="shared" si="2"/>
        <v/>
      </c>
    </row>
    <row r="8">
      <c r="A8" s="18" t="s">
        <v>48</v>
      </c>
      <c r="B8" s="18" t="s">
        <v>63</v>
      </c>
      <c r="C8" s="18" t="s">
        <v>59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 t="str">
        <f t="shared" si="1"/>
        <v/>
      </c>
      <c r="AJ8" s="21" t="str">
        <f t="shared" si="2"/>
        <v/>
      </c>
    </row>
    <row r="9">
      <c r="A9" s="13" t="s">
        <v>48</v>
      </c>
      <c r="B9" s="13" t="s">
        <v>64</v>
      </c>
      <c r="C9" s="13" t="s">
        <v>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6" t="str">
        <f t="shared" si="1"/>
        <v/>
      </c>
      <c r="AJ9" s="17" t="str">
        <f t="shared" si="2"/>
        <v/>
      </c>
    </row>
    <row r="10">
      <c r="A10" s="18" t="s">
        <v>66</v>
      </c>
      <c r="B10" s="18" t="s">
        <v>67</v>
      </c>
      <c r="C10" s="18" t="s">
        <v>68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 t="str">
        <f t="shared" si="1"/>
        <v/>
      </c>
      <c r="AJ10" s="21" t="str">
        <f t="shared" si="2"/>
        <v/>
      </c>
    </row>
    <row r="11">
      <c r="A11" s="13" t="s">
        <v>66</v>
      </c>
      <c r="B11" s="13" t="s">
        <v>69</v>
      </c>
      <c r="C11" s="13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6" t="str">
        <f t="shared" si="1"/>
        <v/>
      </c>
      <c r="AJ11" s="17" t="str">
        <f t="shared" si="2"/>
        <v/>
      </c>
    </row>
    <row r="12">
      <c r="A12" s="18" t="s">
        <v>72</v>
      </c>
      <c r="B12" s="18" t="s">
        <v>73</v>
      </c>
      <c r="C12" s="18" t="s">
        <v>74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 t="str">
        <f t="shared" si="1"/>
        <v/>
      </c>
      <c r="AJ12" s="21" t="str">
        <f t="shared" si="2"/>
        <v/>
      </c>
    </row>
    <row r="13">
      <c r="A13" s="13" t="s">
        <v>72</v>
      </c>
      <c r="B13" s="13" t="s">
        <v>75</v>
      </c>
      <c r="C13" s="13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6" t="str">
        <f t="shared" si="1"/>
        <v/>
      </c>
      <c r="AJ13" s="17" t="str">
        <f t="shared" si="2"/>
        <v/>
      </c>
    </row>
    <row r="14">
      <c r="A14" s="18" t="s">
        <v>72</v>
      </c>
      <c r="B14" s="18" t="s">
        <v>77</v>
      </c>
      <c r="C14" s="18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 t="str">
        <f t="shared" si="1"/>
        <v/>
      </c>
      <c r="AJ14" s="21" t="str">
        <f t="shared" si="2"/>
        <v/>
      </c>
    </row>
    <row r="15">
      <c r="A15" s="13" t="s">
        <v>72</v>
      </c>
      <c r="B15" s="13" t="s">
        <v>79</v>
      </c>
      <c r="C15" s="13" t="s">
        <v>80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6" t="str">
        <f t="shared" si="1"/>
        <v/>
      </c>
      <c r="AJ15" s="17" t="str">
        <f t="shared" si="2"/>
        <v/>
      </c>
    </row>
    <row r="16">
      <c r="A16" s="18" t="s">
        <v>72</v>
      </c>
      <c r="B16" s="18" t="s">
        <v>82</v>
      </c>
      <c r="C16" s="18" t="s">
        <v>83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 t="str">
        <f t="shared" si="1"/>
        <v/>
      </c>
      <c r="AJ16" s="21" t="str">
        <f t="shared" si="2"/>
        <v/>
      </c>
    </row>
    <row r="17">
      <c r="A17" s="13" t="s">
        <v>72</v>
      </c>
      <c r="B17" s="13" t="s">
        <v>85</v>
      </c>
      <c r="C17" s="13" t="s">
        <v>87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6" t="str">
        <f t="shared" si="1"/>
        <v/>
      </c>
      <c r="AJ17" s="17" t="str">
        <f t="shared" si="2"/>
        <v/>
      </c>
    </row>
    <row r="18">
      <c r="A18" s="18" t="s">
        <v>91</v>
      </c>
      <c r="B18" s="18" t="s">
        <v>93</v>
      </c>
      <c r="C18" s="18" t="s">
        <v>95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 t="str">
        <f t="shared" si="1"/>
        <v/>
      </c>
      <c r="AJ18" s="21" t="str">
        <f t="shared" si="2"/>
        <v/>
      </c>
    </row>
    <row r="19">
      <c r="A19" s="13" t="s">
        <v>91</v>
      </c>
      <c r="B19" s="13" t="s">
        <v>97</v>
      </c>
      <c r="C19" s="13" t="s">
        <v>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 t="str">
        <f t="shared" si="1"/>
        <v/>
      </c>
      <c r="AJ19" s="17" t="str">
        <f t="shared" si="2"/>
        <v/>
      </c>
    </row>
    <row r="20">
      <c r="A20" s="18" t="s">
        <v>91</v>
      </c>
      <c r="B20" s="18" t="s">
        <v>103</v>
      </c>
      <c r="C20" s="18" t="s">
        <v>104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 t="str">
        <f t="shared" si="1"/>
        <v/>
      </c>
      <c r="AJ20" s="21" t="str">
        <f t="shared" si="2"/>
        <v/>
      </c>
    </row>
    <row r="21" ht="15.75" customHeight="1">
      <c r="A21" s="13" t="s">
        <v>110</v>
      </c>
      <c r="B21" s="13" t="s">
        <v>112</v>
      </c>
      <c r="C21" s="13" t="s">
        <v>114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6" t="str">
        <f t="shared" si="1"/>
        <v/>
      </c>
      <c r="AJ21" s="17" t="str">
        <f t="shared" si="2"/>
        <v/>
      </c>
    </row>
    <row r="22" ht="15.75" customHeight="1">
      <c r="A22" s="18" t="s">
        <v>110</v>
      </c>
      <c r="B22" s="18" t="s">
        <v>116</v>
      </c>
      <c r="C22" s="18" t="s">
        <v>117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 t="str">
        <f t="shared" si="1"/>
        <v/>
      </c>
      <c r="AJ22" s="21" t="str">
        <f t="shared" si="2"/>
        <v/>
      </c>
    </row>
    <row r="23" ht="15.75" customHeight="1">
      <c r="A23" s="32" t="s">
        <v>118</v>
      </c>
      <c r="B23" s="33"/>
      <c r="C23" s="26"/>
      <c r="D23" s="34" t="str">
        <f t="shared" ref="D23:AH23" si="3">IF(COUNT(D5:D22)&gt;0, SUM(D5:D22), "")</f>
        <v/>
      </c>
      <c r="E23" s="34" t="str">
        <f t="shared" si="3"/>
        <v/>
      </c>
      <c r="F23" s="34" t="str">
        <f t="shared" si="3"/>
        <v/>
      </c>
      <c r="G23" s="34" t="str">
        <f t="shared" si="3"/>
        <v/>
      </c>
      <c r="H23" s="34" t="str">
        <f t="shared" si="3"/>
        <v/>
      </c>
      <c r="I23" s="34" t="str">
        <f t="shared" si="3"/>
        <v/>
      </c>
      <c r="J23" s="34" t="str">
        <f t="shared" si="3"/>
        <v/>
      </c>
      <c r="K23" s="34" t="str">
        <f t="shared" si="3"/>
        <v/>
      </c>
      <c r="L23" s="34" t="str">
        <f t="shared" si="3"/>
        <v/>
      </c>
      <c r="M23" s="34" t="str">
        <f t="shared" si="3"/>
        <v/>
      </c>
      <c r="N23" s="34" t="str">
        <f t="shared" si="3"/>
        <v/>
      </c>
      <c r="O23" s="34" t="str">
        <f t="shared" si="3"/>
        <v/>
      </c>
      <c r="P23" s="34" t="str">
        <f t="shared" si="3"/>
        <v/>
      </c>
      <c r="Q23" s="34" t="str">
        <f t="shared" si="3"/>
        <v/>
      </c>
      <c r="R23" s="34" t="str">
        <f t="shared" si="3"/>
        <v/>
      </c>
      <c r="S23" s="34" t="str">
        <f t="shared" si="3"/>
        <v/>
      </c>
      <c r="T23" s="34" t="str">
        <f t="shared" si="3"/>
        <v/>
      </c>
      <c r="U23" s="34" t="str">
        <f t="shared" si="3"/>
        <v/>
      </c>
      <c r="V23" s="34" t="str">
        <f t="shared" si="3"/>
        <v/>
      </c>
      <c r="W23" s="34" t="str">
        <f t="shared" si="3"/>
        <v/>
      </c>
      <c r="X23" s="34" t="str">
        <f t="shared" si="3"/>
        <v/>
      </c>
      <c r="Y23" s="34" t="str">
        <f t="shared" si="3"/>
        <v/>
      </c>
      <c r="Z23" s="34" t="str">
        <f t="shared" si="3"/>
        <v/>
      </c>
      <c r="AA23" s="34" t="str">
        <f t="shared" si="3"/>
        <v/>
      </c>
      <c r="AB23" s="34" t="str">
        <f t="shared" si="3"/>
        <v/>
      </c>
      <c r="AC23" s="34" t="str">
        <f t="shared" si="3"/>
        <v/>
      </c>
      <c r="AD23" s="34" t="str">
        <f t="shared" si="3"/>
        <v/>
      </c>
      <c r="AE23" s="34" t="str">
        <f t="shared" si="3"/>
        <v/>
      </c>
      <c r="AF23" s="34" t="str">
        <f t="shared" si="3"/>
        <v/>
      </c>
      <c r="AG23" s="34" t="str">
        <f t="shared" si="3"/>
        <v/>
      </c>
      <c r="AH23" s="34" t="str">
        <f t="shared" si="3"/>
        <v/>
      </c>
      <c r="AI23" s="34">
        <f>IFERROR(SUM(AI5:AI22), "")</f>
        <v>0</v>
      </c>
      <c r="AJ23" s="35"/>
    </row>
    <row r="24" ht="15.75" customHeight="1">
      <c r="A24" s="32" t="s">
        <v>119</v>
      </c>
      <c r="B24" s="33"/>
      <c r="C24" s="26"/>
      <c r="D24" s="36" t="str">
        <f t="shared" ref="D24:AH24" si="4">IF(COUNT(D5:D22)&gt;0, AVERAGE(D5:D22), "")</f>
        <v/>
      </c>
      <c r="E24" s="36" t="str">
        <f t="shared" si="4"/>
        <v/>
      </c>
      <c r="F24" s="36" t="str">
        <f t="shared" si="4"/>
        <v/>
      </c>
      <c r="G24" s="36" t="str">
        <f t="shared" si="4"/>
        <v/>
      </c>
      <c r="H24" s="36" t="str">
        <f t="shared" si="4"/>
        <v/>
      </c>
      <c r="I24" s="36" t="str">
        <f t="shared" si="4"/>
        <v/>
      </c>
      <c r="J24" s="36" t="str">
        <f t="shared" si="4"/>
        <v/>
      </c>
      <c r="K24" s="36" t="str">
        <f t="shared" si="4"/>
        <v/>
      </c>
      <c r="L24" s="36" t="str">
        <f t="shared" si="4"/>
        <v/>
      </c>
      <c r="M24" s="36" t="str">
        <f t="shared" si="4"/>
        <v/>
      </c>
      <c r="N24" s="36" t="str">
        <f t="shared" si="4"/>
        <v/>
      </c>
      <c r="O24" s="36" t="str">
        <f t="shared" si="4"/>
        <v/>
      </c>
      <c r="P24" s="36" t="str">
        <f t="shared" si="4"/>
        <v/>
      </c>
      <c r="Q24" s="36" t="str">
        <f t="shared" si="4"/>
        <v/>
      </c>
      <c r="R24" s="36" t="str">
        <f t="shared" si="4"/>
        <v/>
      </c>
      <c r="S24" s="36" t="str">
        <f t="shared" si="4"/>
        <v/>
      </c>
      <c r="T24" s="36" t="str">
        <f t="shared" si="4"/>
        <v/>
      </c>
      <c r="U24" s="36" t="str">
        <f t="shared" si="4"/>
        <v/>
      </c>
      <c r="V24" s="36" t="str">
        <f t="shared" si="4"/>
        <v/>
      </c>
      <c r="W24" s="36" t="str">
        <f t="shared" si="4"/>
        <v/>
      </c>
      <c r="X24" s="36" t="str">
        <f t="shared" si="4"/>
        <v/>
      </c>
      <c r="Y24" s="36" t="str">
        <f t="shared" si="4"/>
        <v/>
      </c>
      <c r="Z24" s="36" t="str">
        <f t="shared" si="4"/>
        <v/>
      </c>
      <c r="AA24" s="36" t="str">
        <f t="shared" si="4"/>
        <v/>
      </c>
      <c r="AB24" s="36" t="str">
        <f t="shared" si="4"/>
        <v/>
      </c>
      <c r="AC24" s="36" t="str">
        <f t="shared" si="4"/>
        <v/>
      </c>
      <c r="AD24" s="36" t="str">
        <f t="shared" si="4"/>
        <v/>
      </c>
      <c r="AE24" s="36" t="str">
        <f t="shared" si="4"/>
        <v/>
      </c>
      <c r="AF24" s="36" t="str">
        <f t="shared" si="4"/>
        <v/>
      </c>
      <c r="AG24" s="36" t="str">
        <f t="shared" si="4"/>
        <v/>
      </c>
      <c r="AH24" s="36" t="str">
        <f t="shared" si="4"/>
        <v/>
      </c>
      <c r="AI24" s="35"/>
      <c r="AJ24" s="36" t="str">
        <f>IFERROR(AVERAGE(D24:AH24), "")</f>
        <v/>
      </c>
    </row>
    <row r="25" ht="15.75" customHeight="1">
      <c r="A25" s="32" t="s">
        <v>120</v>
      </c>
      <c r="B25" s="33"/>
      <c r="C25" s="26"/>
      <c r="D25" s="34" t="str">
        <f t="shared" ref="D25:AH25" si="5">IF(D24="","",IF(D24&gt;=1.63,"BSB",IF(D24&gt;=1.26,"BSH",IF(D24&gt;=0.76,"MB","BB"))))</f>
        <v/>
      </c>
      <c r="E25" s="34" t="str">
        <f t="shared" si="5"/>
        <v/>
      </c>
      <c r="F25" s="34" t="str">
        <f t="shared" si="5"/>
        <v/>
      </c>
      <c r="G25" s="34" t="str">
        <f t="shared" si="5"/>
        <v/>
      </c>
      <c r="H25" s="34" t="str">
        <f t="shared" si="5"/>
        <v/>
      </c>
      <c r="I25" s="34" t="str">
        <f t="shared" si="5"/>
        <v/>
      </c>
      <c r="J25" s="34" t="str">
        <f t="shared" si="5"/>
        <v/>
      </c>
      <c r="K25" s="34" t="str">
        <f t="shared" si="5"/>
        <v/>
      </c>
      <c r="L25" s="34" t="str">
        <f t="shared" si="5"/>
        <v/>
      </c>
      <c r="M25" s="34" t="str">
        <f t="shared" si="5"/>
        <v/>
      </c>
      <c r="N25" s="34" t="str">
        <f t="shared" si="5"/>
        <v/>
      </c>
      <c r="O25" s="34" t="str">
        <f t="shared" si="5"/>
        <v/>
      </c>
      <c r="P25" s="34" t="str">
        <f t="shared" si="5"/>
        <v/>
      </c>
      <c r="Q25" s="34" t="str">
        <f t="shared" si="5"/>
        <v/>
      </c>
      <c r="R25" s="34" t="str">
        <f t="shared" si="5"/>
        <v/>
      </c>
      <c r="S25" s="34" t="str">
        <f t="shared" si="5"/>
        <v/>
      </c>
      <c r="T25" s="34" t="str">
        <f t="shared" si="5"/>
        <v/>
      </c>
      <c r="U25" s="34" t="str">
        <f t="shared" si="5"/>
        <v/>
      </c>
      <c r="V25" s="34" t="str">
        <f t="shared" si="5"/>
        <v/>
      </c>
      <c r="W25" s="34" t="str">
        <f t="shared" si="5"/>
        <v/>
      </c>
      <c r="X25" s="34" t="str">
        <f t="shared" si="5"/>
        <v/>
      </c>
      <c r="Y25" s="34" t="str">
        <f t="shared" si="5"/>
        <v/>
      </c>
      <c r="Z25" s="34" t="str">
        <f t="shared" si="5"/>
        <v/>
      </c>
      <c r="AA25" s="34" t="str">
        <f t="shared" si="5"/>
        <v/>
      </c>
      <c r="AB25" s="34" t="str">
        <f t="shared" si="5"/>
        <v/>
      </c>
      <c r="AC25" s="34" t="str">
        <f t="shared" si="5"/>
        <v/>
      </c>
      <c r="AD25" s="34" t="str">
        <f t="shared" si="5"/>
        <v/>
      </c>
      <c r="AE25" s="34" t="str">
        <f t="shared" si="5"/>
        <v/>
      </c>
      <c r="AF25" s="34" t="str">
        <f t="shared" si="5"/>
        <v/>
      </c>
      <c r="AG25" s="34" t="str">
        <f t="shared" si="5"/>
        <v/>
      </c>
      <c r="AH25" s="34" t="str">
        <f t="shared" si="5"/>
        <v/>
      </c>
      <c r="AI25" s="35"/>
      <c r="AJ25" s="34" t="str">
        <f>IF(AJ24="","",IF(AJ24&gt;=1.63,"BSB",IF(AJ24&gt;=1.26,"BSH",IF(AJ24&gt;=0.76,"MB","BB"))))</f>
        <v/>
      </c>
    </row>
    <row r="26" ht="15.75" customHeight="1"/>
    <row r="27" ht="15.75" customHeight="1"/>
    <row r="28" ht="15.75" customHeight="1">
      <c r="A28" s="37" t="s">
        <v>121</v>
      </c>
      <c r="B28" s="28"/>
      <c r="C28" s="28"/>
      <c r="D28" s="28"/>
      <c r="E28" s="28"/>
      <c r="F28" s="28"/>
      <c r="G28" s="28"/>
      <c r="H28" s="28"/>
      <c r="I28" s="28"/>
      <c r="J28" s="29"/>
    </row>
    <row r="29" ht="15.75" customHeight="1">
      <c r="A29" s="38" t="str">
        <f>IF(AJ24="","Belum ada data pengisian harian.",IF(AJ24&gt;=1.63,"[BSB - Berkembang Sangat Baik | Skor: " &amp; TEXT(AJ24,"0.00") &amp; "] Treatment: Anak sangat mandiri &amp; konsisten. Berikan proyek tantangan kepemimpinan dan pengayaan aktivitas baru.",IF(AJ24&gt;=1.26,"[BSH - Berkembang Sesuai Harapan | Skor: " &amp; TEXT(AJ24,"0.00") &amp; "] Treatment: Anak berkembang sesuai usia. Pertahankan stimulasi rutin harian dan berikan pujian/apresiasi positif.",IF(AJ24&gt;=0.76,"[MB - Mulai Berkembang | Skor: " &amp; TEXT(AJ24,"0.00") &amp; "] Treatment: Anak masih butuh bimbingan. Lakukan pendampingan personal (scaffolding) dan tingkatkan komunikasi rumah-sekolah.","[BB - Belum Berkembang | Skor: " &amp; TEXT(AJ24,"0.00") &amp; "] Treatment: Memerlukan intervensi khusus. Lakukan konseling/dialog mendalam bersama orang tua dan susun pendampingan terpandu."))))</f>
        <v>Belum ada data pengisian harian.</v>
      </c>
      <c r="B29" s="39"/>
      <c r="C29" s="39"/>
      <c r="D29" s="39"/>
      <c r="E29" s="39"/>
      <c r="F29" s="39"/>
      <c r="G29" s="39"/>
      <c r="H29" s="39"/>
      <c r="I29" s="39"/>
      <c r="J29" s="40"/>
    </row>
    <row r="30" ht="15.75" customHeight="1">
      <c r="A30" s="41"/>
      <c r="J30" s="42"/>
    </row>
    <row r="31" ht="15.75" customHeight="1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J1"/>
    <mergeCell ref="A23:C23"/>
    <mergeCell ref="A24:C24"/>
    <mergeCell ref="A25:C25"/>
    <mergeCell ref="A28:J28"/>
    <mergeCell ref="A29:J3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2026-10-20T09:18:09Z</dcterms:created>
  <dc:creator>openpyxl</dc:creator>
</cp:coreProperties>
</file>